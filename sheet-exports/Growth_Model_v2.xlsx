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5"/>
    <sheet state="visible" name="CONTACTS_STAGING" sheetId="2" r:id="rId6"/>
    <sheet state="visible" name="ASSUMPTIONS" sheetId="3" r:id="rId7"/>
    <sheet state="visible" name="LEADERBOARD" sheetId="4" r:id="rId8"/>
    <sheet state="visible" name="OUTPUTS" sheetId="5" r:id="rId9"/>
  </sheets>
  <definedNames/>
  <calcPr/>
</workbook>
</file>

<file path=xl/sharedStrings.xml><?xml version="1.0" encoding="utf-8"?>
<sst xmlns="http://schemas.openxmlformats.org/spreadsheetml/2006/main" count="375" uniqueCount="171">
  <si>
    <t>AGENT ROSTER — EAST HAMPTON FLAGSHIP (BASE CASE)</t>
  </si>
  <si>
    <t>AGENT</t>
  </si>
  <si>
    <t>OFFICE</t>
  </si>
  <si>
    <t>ROLE</t>
  </si>
  <si>
    <t>STATUS</t>
  </si>
  <si>
    <t>START</t>
  </si>
  <si>
    <t>YEAR 1 GCI</t>
  </si>
  <si>
    <t>GROWTH</t>
  </si>
  <si>
    <t>CAP</t>
  </si>
  <si>
    <t>2026 GCI</t>
  </si>
  <si>
    <t>2027 GCI</t>
  </si>
  <si>
    <t>2028 GCI</t>
  </si>
  <si>
    <t>2029 GCI</t>
  </si>
  <si>
    <t>2030 GCI</t>
  </si>
  <si>
    <t>2031 GCI</t>
  </si>
  <si>
    <t>SPLIT</t>
  </si>
  <si>
    <t>ATT</t>
  </si>
  <si>
    <t>NOTES</t>
  </si>
  <si>
    <t>EXISTING AGENTS (8)</t>
  </si>
  <si>
    <t>Ed Bruehl</t>
  </si>
  <si>
    <t>EH</t>
  </si>
  <si>
    <t>Managing Director</t>
  </si>
  <si>
    <t>Active (At Cap)</t>
  </si>
  <si>
    <t>50/50</t>
  </si>
  <si>
    <t>N</t>
  </si>
  <si>
    <t>Team lead. At cap.</t>
  </si>
  <si>
    <t>Angel Theodore</t>
  </si>
  <si>
    <t>Mktg Coord + Sales</t>
  </si>
  <si>
    <t>Active</t>
  </si>
  <si>
    <t>70/30</t>
  </si>
  <si>
    <t>Marketing coordinator</t>
  </si>
  <si>
    <t>Jarvis Slade</t>
  </si>
  <si>
    <t>Agent</t>
  </si>
  <si>
    <t>Zoila Ortega Astor</t>
  </si>
  <si>
    <t>Scott Smith</t>
  </si>
  <si>
    <t>Pending</t>
  </si>
  <si>
    <t>Bonita DeWolf</t>
  </si>
  <si>
    <t>Sebastian Mobo</t>
  </si>
  <si>
    <t>Sandy Busch</t>
  </si>
  <si>
    <t>Jan Jaeger</t>
  </si>
  <si>
    <t>EXISTING SUBTOTAL</t>
  </si>
  <si>
    <t>ENGINE 1: TARGETED HIRES — $500K-$1M (3/yr)</t>
  </si>
  <si>
    <t>TBD — Targeted 2026 #1</t>
  </si>
  <si>
    <t>Sr Agent</t>
  </si>
  <si>
    <t>Recruiting</t>
  </si>
  <si>
    <t>$500K-$1M. 50% hire yr.</t>
  </si>
  <si>
    <t>TBD — Targeted 2026 #2</t>
  </si>
  <si>
    <t>TBD — Targeted 2026 #3</t>
  </si>
  <si>
    <t>TBD — Targeted 2027 #1</t>
  </si>
  <si>
    <t>Planned</t>
  </si>
  <si>
    <t>TBD — Targeted 2027 #2</t>
  </si>
  <si>
    <t>TBD — Targeted 2027 #3</t>
  </si>
  <si>
    <t>TBD — Targeted 2028 #1</t>
  </si>
  <si>
    <t>SH</t>
  </si>
  <si>
    <t>Southampton</t>
  </si>
  <si>
    <t>TBD — Targeted 2028 #2</t>
  </si>
  <si>
    <t>TBD — Targeted 2028 #3</t>
  </si>
  <si>
    <t>TARGETED SUBTOTAL</t>
  </si>
  <si>
    <t>ENGINE 2: ORGANIC ADDS — $100K (4/yr)</t>
  </si>
  <si>
    <t>TBD — Organic 2026 #1</t>
  </si>
  <si>
    <t>TBD — Organic 2026 #2</t>
  </si>
  <si>
    <t>TBD — Organic 2026 #3</t>
  </si>
  <si>
    <t>TBD — Organic 2026 #4</t>
  </si>
  <si>
    <t>TBD — Organic 2027 #1</t>
  </si>
  <si>
    <t>TBD — Organic 2027 #2</t>
  </si>
  <si>
    <t>TBD — Organic 2027 #3</t>
  </si>
  <si>
    <t>TBD — Organic 2027 #4</t>
  </si>
  <si>
    <t>TBD — Organic 2028 #1</t>
  </si>
  <si>
    <t>TBD — Organic 2028 #2</t>
  </si>
  <si>
    <t>TBD — Organic 2028 #3</t>
  </si>
  <si>
    <t>TBD — Organic 2028 #4</t>
  </si>
  <si>
    <t>ORGANIC SUBTOTAL</t>
  </si>
  <si>
    <t>GRAND TOTAL (ALL AGENTS)</t>
  </si>
  <si>
    <t>HOUSE TAKE (30%)</t>
  </si>
  <si>
    <t>AGENT COUNT</t>
  </si>
  <si>
    <t>NAME</t>
  </si>
  <si>
    <t>QUADRANT</t>
  </si>
  <si>
    <t>COMPANY</t>
  </si>
  <si>
    <t>PHONE</t>
  </si>
  <si>
    <t>EMAIL</t>
  </si>
  <si>
    <t>BIRTHDAY</t>
  </si>
  <si>
    <t>GIFT TRIGGER</t>
  </si>
  <si>
    <t>LAST GIFT</t>
  </si>
  <si>
    <t>CADENCE</t>
  </si>
  <si>
    <t>LAST TOUCH</t>
  </si>
  <si>
    <t>NEXT TOUCH DUE</t>
  </si>
  <si>
    <t>WHALE NOTES</t>
  </si>
  <si>
    <t>GROWTH MODEL ASSUMPTIONS — BASE CASE</t>
  </si>
  <si>
    <t>PARAMETER</t>
  </si>
  <si>
    <t>VALUE</t>
  </si>
  <si>
    <t>Growth Rate</t>
  </si>
  <si>
    <t>All agents until cap</t>
  </si>
  <si>
    <t>Cap</t>
  </si>
  <si>
    <t>$1M max</t>
  </si>
  <si>
    <t>House Take</t>
  </si>
  <si>
    <t>30%</t>
  </si>
  <si>
    <t>Default Split</t>
  </si>
  <si>
    <t>Agent/House</t>
  </si>
  <si>
    <t>Ed Split</t>
  </si>
  <si>
    <t>MD rate</t>
  </si>
  <si>
    <t>Attrition</t>
  </si>
  <si>
    <t>10% base</t>
  </si>
  <si>
    <t>ENGINE 1: TARGETED</t>
  </si>
  <si>
    <t>Hires/Year</t>
  </si>
  <si>
    <t>$500K-$1M producers</t>
  </si>
  <si>
    <t>Avg Y1 GCI</t>
  </si>
  <si>
    <t>Avg of range</t>
  </si>
  <si>
    <t>Hire Yr Weight</t>
  </si>
  <si>
    <t>50% mid-year</t>
  </si>
  <si>
    <t>ENGINE 2: ORGANIC</t>
  </si>
  <si>
    <t>Adds/Year</t>
  </si>
  <si>
    <t>Brand-attracted</t>
  </si>
  <si>
    <t>Y1 GCI</t>
  </si>
  <si>
    <t>$100K base</t>
  </si>
  <si>
    <t>50%</t>
  </si>
  <si>
    <t>EXPANSION</t>
  </si>
  <si>
    <t>East Hampton</t>
  </si>
  <si>
    <t>Flagship</t>
  </si>
  <si>
    <t>Target</t>
  </si>
  <si>
    <t>Westhampton</t>
  </si>
  <si>
    <t>INSTITUTIONAL / REFERRAL PIPELINE</t>
  </si>
  <si>
    <t>2026_INSTITUTIONAL_PIPELINE_GCI</t>
  </si>
  <si>
    <t>Ilija network $450K + Auction house $125K + International council $100K + Retirement magnet early introductions $150K. Conservative Year 1 activation. Full detail in REFERRAL_PIPELINES tab — Sprint 6.</t>
  </si>
  <si>
    <t>AGENT LEADERBOARD</t>
  </si>
  <si>
    <t>TOP PRODUCERS (2026)</t>
  </si>
  <si>
    <t>RANK</t>
  </si>
  <si>
    <t>TYPE</t>
  </si>
  <si>
    <t>PIPELINE VALUE</t>
  </si>
  <si>
    <t>CLOSE RATE</t>
  </si>
  <si>
    <t>LEVERAGE NEED</t>
  </si>
  <si>
    <t>Existing</t>
  </si>
  <si>
    <t>At Cap</t>
  </si>
  <si>
    <t>TBD Tgt 2026 #1</t>
  </si>
  <si>
    <t>Targeted</t>
  </si>
  <si>
    <t>TBD Tgt 2026 #2</t>
  </si>
  <si>
    <t>TBD Tgt 2026 #3</t>
  </si>
  <si>
    <t>RECRUITING PIPELINE</t>
  </si>
  <si>
    <t>SLOT</t>
  </si>
  <si>
    <t>CANDIDATE</t>
  </si>
  <si>
    <t>SOURCE</t>
  </si>
  <si>
    <t>NEXT STEP</t>
  </si>
  <si>
    <t>AT RISK (120+ DAYS NO CLOSE)</t>
  </si>
  <si>
    <t>LAST DEAL</t>
  </si>
  <si>
    <t>DAYS</t>
  </si>
  <si>
    <t>GCI vs TARGET</t>
  </si>
  <si>
    <t>RISK</t>
  </si>
  <si>
    <t>ACTION</t>
  </si>
  <si>
    <t>DASHBOARD FEED — BASE CASE</t>
  </si>
  <si>
    <t>KPI STRIP</t>
  </si>
  <si>
    <t>AGENTS</t>
  </si>
  <si>
    <t>HOUSE TAKE</t>
  </si>
  <si>
    <t>SOUTHAMPTON</t>
  </si>
  <si>
    <t>WESTHAMPTON</t>
  </si>
  <si>
    <t>NEXT 12 MONTHS</t>
  </si>
  <si>
    <t>GCI</t>
  </si>
  <si>
    <t>8 existing + 3 targeted + 4 organic</t>
  </si>
  <si>
    <t>Launch 2028</t>
  </si>
  <si>
    <t>Launch 2030</t>
  </si>
  <si>
    <t>TOTAL</t>
  </si>
  <si>
    <t>2026-2031 OUTLOOK</t>
  </si>
  <si>
    <t>YEAR</t>
  </si>
  <si>
    <t>EXISTING</t>
  </si>
  <si>
    <t>TARGETED</t>
  </si>
  <si>
    <t>ORGANIC</t>
  </si>
  <si>
    <t>TOTAL GCI</t>
  </si>
  <si>
    <t>AVG/AGENT</t>
  </si>
  <si>
    <t>2026 GCI BREAKDOWN</t>
  </si>
  <si>
    <t>Agent Production GCI 2026</t>
  </si>
  <si>
    <t>Institutional / Referral GCI 2026</t>
  </si>
  <si>
    <t>Total GCI 2026</t>
  </si>
  <si>
    <t>House Take 2026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</si>
</sst>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%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384249"/>
      <name val="Arial"/>
    </font>
    <font>
      <color theme="1"/>
      <name val="Calibri"/>
      <scheme val="minor"/>
    </font>
    <font>
      <sz val="10.0"/>
      <color rgb="FF0000FF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C9A96E"/>
        <bgColor rgb="FFC9A96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C0392B"/>
        <bgColor rgb="FFC0392B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left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164" xfId="0" applyAlignment="1" applyBorder="1" applyFont="1" applyNumberFormat="1">
      <alignment horizontal="center" readingOrder="0" shrinkToFit="0" vertical="center" wrapText="0"/>
    </xf>
    <xf borderId="1" fillId="5" fontId="2" numFmtId="165" xfId="0" applyAlignment="1" applyBorder="1" applyFill="1" applyFont="1" applyNumberFormat="1">
      <alignment horizontal="center" shrinkToFit="0" vertical="center" wrapText="0"/>
    </xf>
    <xf borderId="1" fillId="4" fontId="2" numFmtId="164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164" xfId="0" applyAlignment="1" applyBorder="1" applyFont="1" applyNumberFormat="1">
      <alignment horizontal="center" readingOrder="0" shrinkToFit="0" vertical="center" wrapText="0"/>
    </xf>
    <xf borderId="1" fillId="5" fontId="2" numFmtId="164" xfId="0" applyAlignment="1" applyBorder="1" applyFont="1" applyNumberFormat="1">
      <alignment horizontal="center" shrinkToFit="0" vertical="center" wrapText="0"/>
    </xf>
    <xf borderId="1" fillId="4" fontId="2" numFmtId="165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ont="1">
      <alignment horizontal="left" readingOrder="0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3" fontId="1" numFmtId="164" xfId="0" applyAlignment="1" applyBorder="1" applyFont="1" applyNumberFormat="1">
      <alignment horizontal="center" shrinkToFit="0" vertical="center" wrapText="0"/>
    </xf>
    <xf borderId="1" fillId="2" fontId="1" numFmtId="1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" xfId="0" applyAlignment="1" applyFont="1" applyNumberFormat="1">
      <alignment shrinkToFit="0" vertical="bottom" wrapText="0"/>
    </xf>
    <xf borderId="1" fillId="6" fontId="1" numFmtId="0" xfId="0" applyAlignment="1" applyBorder="1" applyFill="1" applyFont="1">
      <alignment horizontal="left"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1" fillId="4" fontId="2" numFmtId="164" xfId="0" applyAlignment="1" applyBorder="1" applyFont="1" applyNumberFormat="1">
      <alignment horizontal="left" shrinkToFit="0" vertical="center" wrapText="0"/>
    </xf>
    <xf borderId="1" fillId="4" fontId="2" numFmtId="1" xfId="0" applyAlignment="1" applyBorder="1" applyFont="1" applyNumberFormat="1">
      <alignment horizontal="center" shrinkToFit="0" vertical="center" wrapText="0"/>
    </xf>
    <xf borderId="1" fillId="4" fontId="2" numFmtId="1" xfId="0" applyAlignment="1" applyBorder="1" applyFont="1" applyNumberFormat="1">
      <alignment horizontal="left" shrinkToFit="0" vertical="center" wrapText="0"/>
    </xf>
    <xf borderId="1" fillId="3" fontId="1" numFmtId="1" xfId="0" applyAlignment="1" applyBorder="1" applyFont="1" applyNumberFormat="1">
      <alignment horizontal="center" shrinkToFit="0" vertical="center" wrapText="0"/>
    </xf>
    <xf borderId="1" fillId="5" fontId="2" numFmtId="1" xfId="0" applyAlignment="1" applyBorder="1" applyFont="1" applyNumberFormat="1">
      <alignment horizontal="left" shrinkToFit="0" vertical="center" wrapText="0"/>
    </xf>
    <xf borderId="0" fillId="0" fontId="3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.0"/>
    <col customWidth="1" min="3" max="3" width="18.0"/>
    <col customWidth="1" min="4" max="4" width="16.0"/>
    <col customWidth="1" min="5" max="5" width="8.0"/>
    <col customWidth="1" min="6" max="6" width="14.0"/>
    <col customWidth="1" min="7" max="7" width="10.0"/>
    <col customWidth="1" min="8" max="14" width="14.0"/>
    <col customWidth="1" min="15" max="15" width="10.0"/>
    <col customWidth="1" min="16" max="16" width="6.0"/>
    <col customWidth="1" min="17" max="17" width="32.0"/>
    <col customWidth="1" min="18" max="26" width="8.71"/>
  </cols>
  <sheetData>
    <row r="1" ht="27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1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7.75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31.5" customHeight="1">
      <c r="A4" s="3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5" t="s">
        <v>19</v>
      </c>
      <c r="B5" s="5" t="s">
        <v>20</v>
      </c>
      <c r="C5" s="6" t="s">
        <v>21</v>
      </c>
      <c r="D5" s="6" t="s">
        <v>22</v>
      </c>
      <c r="E5" s="7">
        <v>2025.0</v>
      </c>
      <c r="F5" s="8">
        <v>750000.0</v>
      </c>
      <c r="G5" s="9">
        <v>0.2</v>
      </c>
      <c r="H5" s="10">
        <v>1000000.0</v>
      </c>
      <c r="I5" s="10">
        <f t="shared" ref="I5:I13" si="1">F5</f>
        <v>750000</v>
      </c>
      <c r="J5" s="10">
        <f t="shared" ref="J5:J13" si="2">MIN(I5*(1+G5),H5)</f>
        <v>900000</v>
      </c>
      <c r="K5" s="10">
        <f t="shared" ref="K5:K13" si="3">MIN(J5*(1+G5),H5)</f>
        <v>1000000</v>
      </c>
      <c r="L5" s="10">
        <f t="shared" ref="L5:L13" si="4">MIN(K5*(1+G5),H5)</f>
        <v>1000000</v>
      </c>
      <c r="M5" s="10">
        <f t="shared" ref="M5:M13" si="5">MIN(L5*(1+G5),H5)</f>
        <v>1000000</v>
      </c>
      <c r="N5" s="10">
        <f t="shared" ref="N5:N13" si="6">MIN(M5*(1+G5),H5)</f>
        <v>1000000</v>
      </c>
      <c r="O5" s="6" t="s">
        <v>23</v>
      </c>
      <c r="P5" s="6" t="s">
        <v>24</v>
      </c>
      <c r="Q5" s="6" t="s">
        <v>25</v>
      </c>
    </row>
    <row r="6">
      <c r="A6" s="11" t="s">
        <v>26</v>
      </c>
      <c r="B6" s="11" t="s">
        <v>20</v>
      </c>
      <c r="C6" s="12" t="s">
        <v>27</v>
      </c>
      <c r="D6" s="12" t="s">
        <v>28</v>
      </c>
      <c r="E6" s="7">
        <v>2025.0</v>
      </c>
      <c r="F6" s="13">
        <v>60000.0</v>
      </c>
      <c r="G6" s="9">
        <v>0.2</v>
      </c>
      <c r="H6" s="14">
        <v>1000000.0</v>
      </c>
      <c r="I6" s="14">
        <f t="shared" si="1"/>
        <v>60000</v>
      </c>
      <c r="J6" s="14">
        <f t="shared" si="2"/>
        <v>72000</v>
      </c>
      <c r="K6" s="14">
        <f t="shared" si="3"/>
        <v>86400</v>
      </c>
      <c r="L6" s="14">
        <f t="shared" si="4"/>
        <v>103680</v>
      </c>
      <c r="M6" s="14">
        <f t="shared" si="5"/>
        <v>124416</v>
      </c>
      <c r="N6" s="14">
        <f t="shared" si="6"/>
        <v>149299.2</v>
      </c>
      <c r="O6" s="12" t="s">
        <v>29</v>
      </c>
      <c r="P6" s="12" t="s">
        <v>24</v>
      </c>
      <c r="Q6" s="12" t="s">
        <v>30</v>
      </c>
    </row>
    <row r="7">
      <c r="A7" s="11" t="s">
        <v>31</v>
      </c>
      <c r="B7" s="11" t="s">
        <v>20</v>
      </c>
      <c r="C7" s="12" t="s">
        <v>32</v>
      </c>
      <c r="D7" s="12" t="s">
        <v>28</v>
      </c>
      <c r="E7" s="7">
        <v>2026.0</v>
      </c>
      <c r="F7" s="13">
        <v>330000.0</v>
      </c>
      <c r="G7" s="9">
        <v>0.2</v>
      </c>
      <c r="H7" s="14">
        <v>1000000.0</v>
      </c>
      <c r="I7" s="14">
        <f t="shared" si="1"/>
        <v>330000</v>
      </c>
      <c r="J7" s="14">
        <f t="shared" si="2"/>
        <v>396000</v>
      </c>
      <c r="K7" s="14">
        <f t="shared" si="3"/>
        <v>475200</v>
      </c>
      <c r="L7" s="14">
        <f t="shared" si="4"/>
        <v>570240</v>
      </c>
      <c r="M7" s="14">
        <f t="shared" si="5"/>
        <v>684288</v>
      </c>
      <c r="N7" s="14">
        <f t="shared" si="6"/>
        <v>821145.6</v>
      </c>
      <c r="O7" s="12" t="s">
        <v>29</v>
      </c>
      <c r="P7" s="12" t="s">
        <v>24</v>
      </c>
      <c r="Q7" s="12"/>
    </row>
    <row r="8">
      <c r="A8" s="5" t="s">
        <v>33</v>
      </c>
      <c r="B8" s="5" t="s">
        <v>20</v>
      </c>
      <c r="C8" s="6" t="s">
        <v>32</v>
      </c>
      <c r="D8" s="6" t="s">
        <v>28</v>
      </c>
      <c r="E8" s="7">
        <v>2026.0</v>
      </c>
      <c r="F8" s="8">
        <v>60000.0</v>
      </c>
      <c r="G8" s="15">
        <v>0.2</v>
      </c>
      <c r="H8" s="10">
        <v>1000000.0</v>
      </c>
      <c r="I8" s="10">
        <f t="shared" si="1"/>
        <v>60000</v>
      </c>
      <c r="J8" s="10">
        <f t="shared" si="2"/>
        <v>72000</v>
      </c>
      <c r="K8" s="10">
        <f t="shared" si="3"/>
        <v>86400</v>
      </c>
      <c r="L8" s="10">
        <f t="shared" si="4"/>
        <v>103680</v>
      </c>
      <c r="M8" s="10">
        <f t="shared" si="5"/>
        <v>124416</v>
      </c>
      <c r="N8" s="10">
        <f t="shared" si="6"/>
        <v>149299.2</v>
      </c>
      <c r="O8" s="6" t="s">
        <v>29</v>
      </c>
      <c r="P8" s="6" t="s">
        <v>24</v>
      </c>
      <c r="Q8" s="6"/>
    </row>
    <row r="9">
      <c r="A9" s="16" t="s">
        <v>34</v>
      </c>
      <c r="B9" s="16" t="s">
        <v>20</v>
      </c>
      <c r="C9" s="7" t="s">
        <v>32</v>
      </c>
      <c r="D9" s="7" t="s">
        <v>35</v>
      </c>
      <c r="E9" s="7">
        <v>2026.0</v>
      </c>
      <c r="F9" s="10">
        <v>50000.0</v>
      </c>
      <c r="G9" s="15">
        <v>0.2</v>
      </c>
      <c r="H9" s="10">
        <v>1000000.0</v>
      </c>
      <c r="I9" s="14">
        <f t="shared" si="1"/>
        <v>50000</v>
      </c>
      <c r="J9" s="14">
        <f t="shared" si="2"/>
        <v>60000</v>
      </c>
      <c r="K9" s="14">
        <f t="shared" si="3"/>
        <v>72000</v>
      </c>
      <c r="L9" s="14">
        <f t="shared" si="4"/>
        <v>86400</v>
      </c>
      <c r="M9" s="14">
        <f t="shared" si="5"/>
        <v>103680</v>
      </c>
      <c r="N9" s="14">
        <f t="shared" si="6"/>
        <v>124416</v>
      </c>
      <c r="O9" s="12" t="s">
        <v>29</v>
      </c>
      <c r="P9" s="12" t="s">
        <v>24</v>
      </c>
      <c r="Q9" s="6"/>
    </row>
    <row r="10">
      <c r="A10" s="5" t="s">
        <v>36</v>
      </c>
      <c r="B10" s="5" t="s">
        <v>20</v>
      </c>
      <c r="C10" s="6" t="s">
        <v>32</v>
      </c>
      <c r="D10" s="6" t="s">
        <v>28</v>
      </c>
      <c r="E10" s="6">
        <v>2024.0</v>
      </c>
      <c r="F10" s="10">
        <v>350000.0</v>
      </c>
      <c r="G10" s="15">
        <v>0.2</v>
      </c>
      <c r="H10" s="10">
        <v>1000000.0</v>
      </c>
      <c r="I10" s="10">
        <f t="shared" si="1"/>
        <v>350000</v>
      </c>
      <c r="J10" s="10">
        <f t="shared" si="2"/>
        <v>420000</v>
      </c>
      <c r="K10" s="10">
        <f t="shared" si="3"/>
        <v>504000</v>
      </c>
      <c r="L10" s="10">
        <f t="shared" si="4"/>
        <v>604800</v>
      </c>
      <c r="M10" s="10">
        <f t="shared" si="5"/>
        <v>725760</v>
      </c>
      <c r="N10" s="10">
        <f t="shared" si="6"/>
        <v>870912</v>
      </c>
      <c r="O10" s="6" t="s">
        <v>29</v>
      </c>
      <c r="P10" s="6" t="s">
        <v>24</v>
      </c>
      <c r="Q10" s="6"/>
    </row>
    <row r="11">
      <c r="A11" s="11" t="s">
        <v>37</v>
      </c>
      <c r="B11" s="11" t="s">
        <v>20</v>
      </c>
      <c r="C11" s="12" t="s">
        <v>32</v>
      </c>
      <c r="D11" s="12" t="s">
        <v>28</v>
      </c>
      <c r="E11" s="7">
        <v>2025.0</v>
      </c>
      <c r="F11" s="14">
        <v>100000.0</v>
      </c>
      <c r="G11" s="9">
        <v>0.2</v>
      </c>
      <c r="H11" s="14">
        <v>1000000.0</v>
      </c>
      <c r="I11" s="14">
        <f t="shared" si="1"/>
        <v>100000</v>
      </c>
      <c r="J11" s="14">
        <f t="shared" si="2"/>
        <v>120000</v>
      </c>
      <c r="K11" s="14">
        <f t="shared" si="3"/>
        <v>144000</v>
      </c>
      <c r="L11" s="14">
        <f t="shared" si="4"/>
        <v>172800</v>
      </c>
      <c r="M11" s="14">
        <f t="shared" si="5"/>
        <v>207360</v>
      </c>
      <c r="N11" s="14">
        <f t="shared" si="6"/>
        <v>248832</v>
      </c>
      <c r="O11" s="12" t="s">
        <v>29</v>
      </c>
      <c r="P11" s="12" t="s">
        <v>24</v>
      </c>
      <c r="Q11" s="12"/>
    </row>
    <row r="12">
      <c r="A12" s="5" t="s">
        <v>38</v>
      </c>
      <c r="B12" s="5" t="s">
        <v>20</v>
      </c>
      <c r="C12" s="6" t="s">
        <v>32</v>
      </c>
      <c r="D12" s="6" t="s">
        <v>28</v>
      </c>
      <c r="E12" s="7">
        <v>2025.0</v>
      </c>
      <c r="F12" s="10">
        <v>50000.0</v>
      </c>
      <c r="G12" s="15">
        <v>0.2</v>
      </c>
      <c r="H12" s="10">
        <v>1000000.0</v>
      </c>
      <c r="I12" s="10">
        <f t="shared" si="1"/>
        <v>50000</v>
      </c>
      <c r="J12" s="10">
        <f t="shared" si="2"/>
        <v>60000</v>
      </c>
      <c r="K12" s="10">
        <f t="shared" si="3"/>
        <v>72000</v>
      </c>
      <c r="L12" s="10">
        <f t="shared" si="4"/>
        <v>86400</v>
      </c>
      <c r="M12" s="10">
        <f t="shared" si="5"/>
        <v>103680</v>
      </c>
      <c r="N12" s="10">
        <f t="shared" si="6"/>
        <v>124416</v>
      </c>
      <c r="O12" s="6" t="s">
        <v>29</v>
      </c>
      <c r="P12" s="6" t="s">
        <v>24</v>
      </c>
      <c r="Q12" s="6"/>
    </row>
    <row r="13">
      <c r="A13" s="11" t="s">
        <v>39</v>
      </c>
      <c r="B13" s="11" t="s">
        <v>20</v>
      </c>
      <c r="C13" s="12" t="s">
        <v>32</v>
      </c>
      <c r="D13" s="12" t="s">
        <v>28</v>
      </c>
      <c r="E13" s="12">
        <v>2024.0</v>
      </c>
      <c r="F13" s="14">
        <v>50000.0</v>
      </c>
      <c r="G13" s="9">
        <v>0.2</v>
      </c>
      <c r="H13" s="14">
        <v>1000000.0</v>
      </c>
      <c r="I13" s="14">
        <f t="shared" si="1"/>
        <v>50000</v>
      </c>
      <c r="J13" s="14">
        <f t="shared" si="2"/>
        <v>60000</v>
      </c>
      <c r="K13" s="14">
        <f t="shared" si="3"/>
        <v>72000</v>
      </c>
      <c r="L13" s="14">
        <f t="shared" si="4"/>
        <v>86400</v>
      </c>
      <c r="M13" s="14">
        <f t="shared" si="5"/>
        <v>103680</v>
      </c>
      <c r="N13" s="14">
        <f t="shared" si="6"/>
        <v>124416</v>
      </c>
      <c r="O13" s="12" t="s">
        <v>29</v>
      </c>
      <c r="P13" s="12" t="s">
        <v>24</v>
      </c>
      <c r="Q13" s="12"/>
    </row>
    <row r="14" ht="27.75" customHeight="1">
      <c r="A14" s="1" t="s">
        <v>40</v>
      </c>
      <c r="B14" s="2"/>
      <c r="C14" s="2"/>
      <c r="D14" s="2"/>
      <c r="E14" s="2"/>
      <c r="F14" s="17">
        <f>SUM(F5:F13)</f>
        <v>1800000</v>
      </c>
      <c r="G14" s="2"/>
      <c r="H14" s="2"/>
      <c r="I14" s="17">
        <f t="shared" ref="I14:N14" si="7">SUM(I5:I13)</f>
        <v>1800000</v>
      </c>
      <c r="J14" s="17">
        <f t="shared" si="7"/>
        <v>2160000</v>
      </c>
      <c r="K14" s="17">
        <f t="shared" si="7"/>
        <v>2512000</v>
      </c>
      <c r="L14" s="17">
        <f t="shared" si="7"/>
        <v>2814400</v>
      </c>
      <c r="M14" s="17">
        <f t="shared" si="7"/>
        <v>3177280</v>
      </c>
      <c r="N14" s="17">
        <f t="shared" si="7"/>
        <v>3612736</v>
      </c>
      <c r="O14" s="2"/>
      <c r="P14" s="2"/>
      <c r="Q14" s="2"/>
    </row>
    <row r="16" ht="31.5" customHeight="1">
      <c r="A16" s="3" t="s">
        <v>41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5" t="s">
        <v>42</v>
      </c>
      <c r="B17" s="5" t="s">
        <v>20</v>
      </c>
      <c r="C17" s="6" t="s">
        <v>43</v>
      </c>
      <c r="D17" s="6" t="s">
        <v>44</v>
      </c>
      <c r="E17" s="6">
        <v>2026.0</v>
      </c>
      <c r="F17" s="10">
        <v>750000.0</v>
      </c>
      <c r="G17" s="15">
        <v>0.2</v>
      </c>
      <c r="H17" s="10">
        <v>1000000.0</v>
      </c>
      <c r="I17" s="10">
        <f t="shared" ref="I17:I19" si="8">F17*0.5</f>
        <v>375000</v>
      </c>
      <c r="J17" s="10">
        <f t="shared" ref="J17:J19" si="9">MIN(F17*(1+G17),H17)</f>
        <v>900000</v>
      </c>
      <c r="K17" s="10">
        <f t="shared" ref="K17:K19" si="10">MIN(J17*(1+G17),H17)</f>
        <v>1000000</v>
      </c>
      <c r="L17" s="10">
        <f t="shared" ref="L17:L22" si="11">MIN(K17*(1+G17),H17)</f>
        <v>1000000</v>
      </c>
      <c r="M17" s="10">
        <f t="shared" ref="M17:M25" si="12">MIN(L17*(1+G17),H17)</f>
        <v>1000000</v>
      </c>
      <c r="N17" s="10">
        <f t="shared" ref="N17:N25" si="13">MIN(M17*(1+G17),H17)</f>
        <v>1000000</v>
      </c>
      <c r="O17" s="6" t="s">
        <v>29</v>
      </c>
      <c r="P17" s="6" t="s">
        <v>24</v>
      </c>
      <c r="Q17" s="6" t="s">
        <v>45</v>
      </c>
    </row>
    <row r="18">
      <c r="A18" s="11" t="s">
        <v>46</v>
      </c>
      <c r="B18" s="11" t="s">
        <v>20</v>
      </c>
      <c r="C18" s="12" t="s">
        <v>43</v>
      </c>
      <c r="D18" s="12" t="s">
        <v>44</v>
      </c>
      <c r="E18" s="12">
        <v>2026.0</v>
      </c>
      <c r="F18" s="14">
        <v>750000.0</v>
      </c>
      <c r="G18" s="9">
        <v>0.2</v>
      </c>
      <c r="H18" s="14">
        <v>1000000.0</v>
      </c>
      <c r="I18" s="14">
        <f t="shared" si="8"/>
        <v>375000</v>
      </c>
      <c r="J18" s="14">
        <f t="shared" si="9"/>
        <v>900000</v>
      </c>
      <c r="K18" s="14">
        <f t="shared" si="10"/>
        <v>1000000</v>
      </c>
      <c r="L18" s="14">
        <f t="shared" si="11"/>
        <v>1000000</v>
      </c>
      <c r="M18" s="14">
        <f t="shared" si="12"/>
        <v>1000000</v>
      </c>
      <c r="N18" s="14">
        <f t="shared" si="13"/>
        <v>1000000</v>
      </c>
      <c r="O18" s="12" t="s">
        <v>29</v>
      </c>
      <c r="P18" s="12" t="s">
        <v>24</v>
      </c>
      <c r="Q18" s="12"/>
    </row>
    <row r="19">
      <c r="A19" s="5" t="s">
        <v>47</v>
      </c>
      <c r="B19" s="5" t="s">
        <v>20</v>
      </c>
      <c r="C19" s="6" t="s">
        <v>43</v>
      </c>
      <c r="D19" s="6" t="s">
        <v>44</v>
      </c>
      <c r="E19" s="6">
        <v>2026.0</v>
      </c>
      <c r="F19" s="10">
        <v>750000.0</v>
      </c>
      <c r="G19" s="15">
        <v>0.2</v>
      </c>
      <c r="H19" s="10">
        <v>1000000.0</v>
      </c>
      <c r="I19" s="10">
        <f t="shared" si="8"/>
        <v>375000</v>
      </c>
      <c r="J19" s="10">
        <f t="shared" si="9"/>
        <v>900000</v>
      </c>
      <c r="K19" s="10">
        <f t="shared" si="10"/>
        <v>1000000</v>
      </c>
      <c r="L19" s="10">
        <f t="shared" si="11"/>
        <v>1000000</v>
      </c>
      <c r="M19" s="10">
        <f t="shared" si="12"/>
        <v>1000000</v>
      </c>
      <c r="N19" s="10">
        <f t="shared" si="13"/>
        <v>1000000</v>
      </c>
      <c r="O19" s="6" t="s">
        <v>29</v>
      </c>
      <c r="P19" s="6" t="s">
        <v>24</v>
      </c>
      <c r="Q19" s="6"/>
    </row>
    <row r="20">
      <c r="A20" s="11" t="s">
        <v>48</v>
      </c>
      <c r="B20" s="11" t="s">
        <v>20</v>
      </c>
      <c r="C20" s="12" t="s">
        <v>43</v>
      </c>
      <c r="D20" s="12" t="s">
        <v>49</v>
      </c>
      <c r="E20" s="12">
        <v>2027.0</v>
      </c>
      <c r="F20" s="14">
        <v>750000.0</v>
      </c>
      <c r="G20" s="9">
        <v>0.2</v>
      </c>
      <c r="H20" s="14">
        <v>1000000.0</v>
      </c>
      <c r="I20" s="14">
        <v>0.0</v>
      </c>
      <c r="J20" s="14">
        <f t="shared" ref="J20:J22" si="14">F20*0.5</f>
        <v>375000</v>
      </c>
      <c r="K20" s="14">
        <f t="shared" ref="K20:K22" si="15">MIN(F20*(1+G20),H20)</f>
        <v>900000</v>
      </c>
      <c r="L20" s="14">
        <f t="shared" si="11"/>
        <v>1000000</v>
      </c>
      <c r="M20" s="14">
        <f t="shared" si="12"/>
        <v>1000000</v>
      </c>
      <c r="N20" s="14">
        <f t="shared" si="13"/>
        <v>1000000</v>
      </c>
      <c r="O20" s="12" t="s">
        <v>29</v>
      </c>
      <c r="P20" s="12" t="s">
        <v>24</v>
      </c>
      <c r="Q20" s="12"/>
    </row>
    <row r="21">
      <c r="A21" s="5" t="s">
        <v>50</v>
      </c>
      <c r="B21" s="5" t="s">
        <v>20</v>
      </c>
      <c r="C21" s="6" t="s">
        <v>43</v>
      </c>
      <c r="D21" s="6" t="s">
        <v>49</v>
      </c>
      <c r="E21" s="6">
        <v>2027.0</v>
      </c>
      <c r="F21" s="10">
        <v>750000.0</v>
      </c>
      <c r="G21" s="15">
        <v>0.2</v>
      </c>
      <c r="H21" s="10">
        <v>1000000.0</v>
      </c>
      <c r="I21" s="10">
        <v>0.0</v>
      </c>
      <c r="J21" s="10">
        <f t="shared" si="14"/>
        <v>375000</v>
      </c>
      <c r="K21" s="10">
        <f t="shared" si="15"/>
        <v>900000</v>
      </c>
      <c r="L21" s="10">
        <f t="shared" si="11"/>
        <v>1000000</v>
      </c>
      <c r="M21" s="10">
        <f t="shared" si="12"/>
        <v>1000000</v>
      </c>
      <c r="N21" s="10">
        <f t="shared" si="13"/>
        <v>1000000</v>
      </c>
      <c r="O21" s="6" t="s">
        <v>29</v>
      </c>
      <c r="P21" s="6" t="s">
        <v>24</v>
      </c>
      <c r="Q21" s="6"/>
    </row>
    <row r="22" ht="15.75" customHeight="1">
      <c r="A22" s="11" t="s">
        <v>51</v>
      </c>
      <c r="B22" s="11" t="s">
        <v>20</v>
      </c>
      <c r="C22" s="12" t="s">
        <v>43</v>
      </c>
      <c r="D22" s="12" t="s">
        <v>49</v>
      </c>
      <c r="E22" s="12">
        <v>2027.0</v>
      </c>
      <c r="F22" s="14">
        <v>750000.0</v>
      </c>
      <c r="G22" s="9">
        <v>0.2</v>
      </c>
      <c r="H22" s="14">
        <v>1000000.0</v>
      </c>
      <c r="I22" s="14">
        <v>0.0</v>
      </c>
      <c r="J22" s="14">
        <f t="shared" si="14"/>
        <v>375000</v>
      </c>
      <c r="K22" s="14">
        <f t="shared" si="15"/>
        <v>900000</v>
      </c>
      <c r="L22" s="14">
        <f t="shared" si="11"/>
        <v>1000000</v>
      </c>
      <c r="M22" s="14">
        <f t="shared" si="12"/>
        <v>1000000</v>
      </c>
      <c r="N22" s="14">
        <f t="shared" si="13"/>
        <v>1000000</v>
      </c>
      <c r="O22" s="12" t="s">
        <v>29</v>
      </c>
      <c r="P22" s="12" t="s">
        <v>24</v>
      </c>
      <c r="Q22" s="12"/>
    </row>
    <row r="23" ht="15.75" customHeight="1">
      <c r="A23" s="5" t="s">
        <v>52</v>
      </c>
      <c r="B23" s="5" t="s">
        <v>53</v>
      </c>
      <c r="C23" s="6" t="s">
        <v>43</v>
      </c>
      <c r="D23" s="6" t="s">
        <v>49</v>
      </c>
      <c r="E23" s="6">
        <v>2028.0</v>
      </c>
      <c r="F23" s="10">
        <v>750000.0</v>
      </c>
      <c r="G23" s="15">
        <v>0.2</v>
      </c>
      <c r="H23" s="10">
        <v>1000000.0</v>
      </c>
      <c r="I23" s="10">
        <v>0.0</v>
      </c>
      <c r="J23" s="10">
        <v>0.0</v>
      </c>
      <c r="K23" s="10">
        <f t="shared" ref="K23:K25" si="16">F23*0.5</f>
        <v>375000</v>
      </c>
      <c r="L23" s="10">
        <f t="shared" ref="L23:L25" si="17">MIN(F23*(1+G23),H23)</f>
        <v>900000</v>
      </c>
      <c r="M23" s="10">
        <f t="shared" si="12"/>
        <v>1000000</v>
      </c>
      <c r="N23" s="10">
        <f t="shared" si="13"/>
        <v>1000000</v>
      </c>
      <c r="O23" s="6" t="s">
        <v>29</v>
      </c>
      <c r="P23" s="6" t="s">
        <v>24</v>
      </c>
      <c r="Q23" s="6" t="s">
        <v>54</v>
      </c>
    </row>
    <row r="24" ht="15.75" customHeight="1">
      <c r="A24" s="11" t="s">
        <v>55</v>
      </c>
      <c r="B24" s="11" t="s">
        <v>53</v>
      </c>
      <c r="C24" s="12" t="s">
        <v>43</v>
      </c>
      <c r="D24" s="12" t="s">
        <v>49</v>
      </c>
      <c r="E24" s="12">
        <v>2028.0</v>
      </c>
      <c r="F24" s="14">
        <v>750000.0</v>
      </c>
      <c r="G24" s="9">
        <v>0.2</v>
      </c>
      <c r="H24" s="14">
        <v>1000000.0</v>
      </c>
      <c r="I24" s="14">
        <v>0.0</v>
      </c>
      <c r="J24" s="14">
        <v>0.0</v>
      </c>
      <c r="K24" s="14">
        <f t="shared" si="16"/>
        <v>375000</v>
      </c>
      <c r="L24" s="14">
        <f t="shared" si="17"/>
        <v>900000</v>
      </c>
      <c r="M24" s="14">
        <f t="shared" si="12"/>
        <v>1000000</v>
      </c>
      <c r="N24" s="14">
        <f t="shared" si="13"/>
        <v>1000000</v>
      </c>
      <c r="O24" s="12" t="s">
        <v>29</v>
      </c>
      <c r="P24" s="12" t="s">
        <v>24</v>
      </c>
      <c r="Q24" s="12" t="s">
        <v>54</v>
      </c>
    </row>
    <row r="25" ht="15.75" customHeight="1">
      <c r="A25" s="5" t="s">
        <v>56</v>
      </c>
      <c r="B25" s="5" t="s">
        <v>20</v>
      </c>
      <c r="C25" s="6" t="s">
        <v>43</v>
      </c>
      <c r="D25" s="6" t="s">
        <v>49</v>
      </c>
      <c r="E25" s="6">
        <v>2028.0</v>
      </c>
      <c r="F25" s="10">
        <v>750000.0</v>
      </c>
      <c r="G25" s="15">
        <v>0.2</v>
      </c>
      <c r="H25" s="10">
        <v>1000000.0</v>
      </c>
      <c r="I25" s="10">
        <v>0.0</v>
      </c>
      <c r="J25" s="10">
        <v>0.0</v>
      </c>
      <c r="K25" s="10">
        <f t="shared" si="16"/>
        <v>375000</v>
      </c>
      <c r="L25" s="10">
        <f t="shared" si="17"/>
        <v>900000</v>
      </c>
      <c r="M25" s="10">
        <f t="shared" si="12"/>
        <v>1000000</v>
      </c>
      <c r="N25" s="10">
        <f t="shared" si="13"/>
        <v>1000000</v>
      </c>
      <c r="O25" s="6" t="s">
        <v>29</v>
      </c>
      <c r="P25" s="6" t="s">
        <v>24</v>
      </c>
      <c r="Q25" s="6"/>
    </row>
    <row r="26" ht="27.75" customHeight="1">
      <c r="A26" s="1" t="s">
        <v>57</v>
      </c>
      <c r="B26" s="2"/>
      <c r="C26" s="2"/>
      <c r="D26" s="2"/>
      <c r="E26" s="2"/>
      <c r="F26" s="17">
        <f>SUM(F17:F25)</f>
        <v>6750000</v>
      </c>
      <c r="G26" s="2"/>
      <c r="H26" s="2"/>
      <c r="I26" s="17">
        <f t="shared" ref="I26:N26" si="18">SUM(I17:I25)</f>
        <v>1125000</v>
      </c>
      <c r="J26" s="17">
        <f t="shared" si="18"/>
        <v>3825000</v>
      </c>
      <c r="K26" s="17">
        <f t="shared" si="18"/>
        <v>6825000</v>
      </c>
      <c r="L26" s="17">
        <f t="shared" si="18"/>
        <v>8700000</v>
      </c>
      <c r="M26" s="17">
        <f t="shared" si="18"/>
        <v>9000000</v>
      </c>
      <c r="N26" s="17">
        <f t="shared" si="18"/>
        <v>9000000</v>
      </c>
      <c r="O26" s="2"/>
      <c r="P26" s="2"/>
      <c r="Q26" s="2"/>
    </row>
    <row r="27" ht="15.75" customHeight="1"/>
    <row r="28" ht="31.5" customHeight="1">
      <c r="A28" s="3" t="s">
        <v>58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5.75" customHeight="1">
      <c r="A29" s="5" t="s">
        <v>59</v>
      </c>
      <c r="B29" s="5" t="s">
        <v>20</v>
      </c>
      <c r="C29" s="6" t="s">
        <v>32</v>
      </c>
      <c r="D29" s="6" t="s">
        <v>44</v>
      </c>
      <c r="E29" s="6">
        <v>2026.0</v>
      </c>
      <c r="F29" s="10">
        <v>100000.0</v>
      </c>
      <c r="G29" s="15">
        <v>0.2</v>
      </c>
      <c r="H29" s="10">
        <v>1000000.0</v>
      </c>
      <c r="I29" s="10">
        <f t="shared" ref="I29:I32" si="19">F29*0.5</f>
        <v>50000</v>
      </c>
      <c r="J29" s="10">
        <f t="shared" ref="J29:J32" si="20">MIN(F29*(1+G29),H29)</f>
        <v>120000</v>
      </c>
      <c r="K29" s="10">
        <f t="shared" ref="K29:K32" si="21">MIN(J29*(1+G29),H29)</f>
        <v>144000</v>
      </c>
      <c r="L29" s="10">
        <f t="shared" ref="L29:L36" si="22">MIN(K29*(1+G29),H29)</f>
        <v>172800</v>
      </c>
      <c r="M29" s="10">
        <f t="shared" ref="M29:M40" si="23">MIN(L29*(1+G29),H29)</f>
        <v>207360</v>
      </c>
      <c r="N29" s="10">
        <f t="shared" ref="N29:N40" si="24">MIN(M29*(1+G29),H29)</f>
        <v>248832</v>
      </c>
      <c r="O29" s="6" t="s">
        <v>29</v>
      </c>
      <c r="P29" s="6" t="s">
        <v>24</v>
      </c>
      <c r="Q29" s="6"/>
    </row>
    <row r="30" ht="15.75" customHeight="1">
      <c r="A30" s="11" t="s">
        <v>60</v>
      </c>
      <c r="B30" s="11" t="s">
        <v>20</v>
      </c>
      <c r="C30" s="12" t="s">
        <v>32</v>
      </c>
      <c r="D30" s="12" t="s">
        <v>44</v>
      </c>
      <c r="E30" s="12">
        <v>2026.0</v>
      </c>
      <c r="F30" s="14">
        <v>100000.0</v>
      </c>
      <c r="G30" s="9">
        <v>0.2</v>
      </c>
      <c r="H30" s="14">
        <v>1000000.0</v>
      </c>
      <c r="I30" s="14">
        <f t="shared" si="19"/>
        <v>50000</v>
      </c>
      <c r="J30" s="14">
        <f t="shared" si="20"/>
        <v>120000</v>
      </c>
      <c r="K30" s="14">
        <f t="shared" si="21"/>
        <v>144000</v>
      </c>
      <c r="L30" s="14">
        <f t="shared" si="22"/>
        <v>172800</v>
      </c>
      <c r="M30" s="14">
        <f t="shared" si="23"/>
        <v>207360</v>
      </c>
      <c r="N30" s="14">
        <f t="shared" si="24"/>
        <v>248832</v>
      </c>
      <c r="O30" s="12" t="s">
        <v>29</v>
      </c>
      <c r="P30" s="12" t="s">
        <v>24</v>
      </c>
      <c r="Q30" s="12"/>
    </row>
    <row r="31" ht="15.75" customHeight="1">
      <c r="A31" s="5" t="s">
        <v>61</v>
      </c>
      <c r="B31" s="5" t="s">
        <v>20</v>
      </c>
      <c r="C31" s="6" t="s">
        <v>32</v>
      </c>
      <c r="D31" s="6" t="s">
        <v>44</v>
      </c>
      <c r="E31" s="6">
        <v>2026.0</v>
      </c>
      <c r="F31" s="10">
        <v>100000.0</v>
      </c>
      <c r="G31" s="15">
        <v>0.2</v>
      </c>
      <c r="H31" s="10">
        <v>1000000.0</v>
      </c>
      <c r="I31" s="10">
        <f t="shared" si="19"/>
        <v>50000</v>
      </c>
      <c r="J31" s="10">
        <f t="shared" si="20"/>
        <v>120000</v>
      </c>
      <c r="K31" s="10">
        <f t="shared" si="21"/>
        <v>144000</v>
      </c>
      <c r="L31" s="10">
        <f t="shared" si="22"/>
        <v>172800</v>
      </c>
      <c r="M31" s="10">
        <f t="shared" si="23"/>
        <v>207360</v>
      </c>
      <c r="N31" s="10">
        <f t="shared" si="24"/>
        <v>248832</v>
      </c>
      <c r="O31" s="6" t="s">
        <v>29</v>
      </c>
      <c r="P31" s="6" t="s">
        <v>24</v>
      </c>
      <c r="Q31" s="6"/>
    </row>
    <row r="32" ht="15.75" customHeight="1">
      <c r="A32" s="11" t="s">
        <v>62</v>
      </c>
      <c r="B32" s="11" t="s">
        <v>20</v>
      </c>
      <c r="C32" s="12" t="s">
        <v>32</v>
      </c>
      <c r="D32" s="12" t="s">
        <v>44</v>
      </c>
      <c r="E32" s="12">
        <v>2026.0</v>
      </c>
      <c r="F32" s="14">
        <v>100000.0</v>
      </c>
      <c r="G32" s="9">
        <v>0.2</v>
      </c>
      <c r="H32" s="14">
        <v>1000000.0</v>
      </c>
      <c r="I32" s="14">
        <f t="shared" si="19"/>
        <v>50000</v>
      </c>
      <c r="J32" s="14">
        <f t="shared" si="20"/>
        <v>120000</v>
      </c>
      <c r="K32" s="14">
        <f t="shared" si="21"/>
        <v>144000</v>
      </c>
      <c r="L32" s="14">
        <f t="shared" si="22"/>
        <v>172800</v>
      </c>
      <c r="M32" s="14">
        <f t="shared" si="23"/>
        <v>207360</v>
      </c>
      <c r="N32" s="14">
        <f t="shared" si="24"/>
        <v>248832</v>
      </c>
      <c r="O32" s="12" t="s">
        <v>29</v>
      </c>
      <c r="P32" s="12" t="s">
        <v>24</v>
      </c>
      <c r="Q32" s="12"/>
    </row>
    <row r="33" ht="15.75" customHeight="1">
      <c r="A33" s="5" t="s">
        <v>63</v>
      </c>
      <c r="B33" s="5" t="s">
        <v>20</v>
      </c>
      <c r="C33" s="6" t="s">
        <v>32</v>
      </c>
      <c r="D33" s="6" t="s">
        <v>49</v>
      </c>
      <c r="E33" s="6">
        <v>2027.0</v>
      </c>
      <c r="F33" s="10">
        <v>100000.0</v>
      </c>
      <c r="G33" s="15">
        <v>0.2</v>
      </c>
      <c r="H33" s="10">
        <v>1000000.0</v>
      </c>
      <c r="I33" s="10">
        <v>0.0</v>
      </c>
      <c r="J33" s="10">
        <f t="shared" ref="J33:J36" si="25">F33*0.5</f>
        <v>50000</v>
      </c>
      <c r="K33" s="10">
        <f t="shared" ref="K33:K36" si="26">MIN(F33*(1+G33),H33)</f>
        <v>120000</v>
      </c>
      <c r="L33" s="10">
        <f t="shared" si="22"/>
        <v>144000</v>
      </c>
      <c r="M33" s="10">
        <f t="shared" si="23"/>
        <v>172800</v>
      </c>
      <c r="N33" s="10">
        <f t="shared" si="24"/>
        <v>207360</v>
      </c>
      <c r="O33" s="6" t="s">
        <v>29</v>
      </c>
      <c r="P33" s="6" t="s">
        <v>24</v>
      </c>
      <c r="Q33" s="6"/>
    </row>
    <row r="34" ht="15.75" customHeight="1">
      <c r="A34" s="11" t="s">
        <v>64</v>
      </c>
      <c r="B34" s="11" t="s">
        <v>20</v>
      </c>
      <c r="C34" s="12" t="s">
        <v>32</v>
      </c>
      <c r="D34" s="12" t="s">
        <v>49</v>
      </c>
      <c r="E34" s="12">
        <v>2027.0</v>
      </c>
      <c r="F34" s="14">
        <v>100000.0</v>
      </c>
      <c r="G34" s="9">
        <v>0.2</v>
      </c>
      <c r="H34" s="14">
        <v>1000000.0</v>
      </c>
      <c r="I34" s="14">
        <v>0.0</v>
      </c>
      <c r="J34" s="14">
        <f t="shared" si="25"/>
        <v>50000</v>
      </c>
      <c r="K34" s="14">
        <f t="shared" si="26"/>
        <v>120000</v>
      </c>
      <c r="L34" s="14">
        <f t="shared" si="22"/>
        <v>144000</v>
      </c>
      <c r="M34" s="14">
        <f t="shared" si="23"/>
        <v>172800</v>
      </c>
      <c r="N34" s="14">
        <f t="shared" si="24"/>
        <v>207360</v>
      </c>
      <c r="O34" s="12" t="s">
        <v>29</v>
      </c>
      <c r="P34" s="12" t="s">
        <v>24</v>
      </c>
      <c r="Q34" s="12"/>
    </row>
    <row r="35" ht="15.75" customHeight="1">
      <c r="A35" s="5" t="s">
        <v>65</v>
      </c>
      <c r="B35" s="5" t="s">
        <v>20</v>
      </c>
      <c r="C35" s="6" t="s">
        <v>32</v>
      </c>
      <c r="D35" s="6" t="s">
        <v>49</v>
      </c>
      <c r="E35" s="6">
        <v>2027.0</v>
      </c>
      <c r="F35" s="10">
        <v>100000.0</v>
      </c>
      <c r="G35" s="15">
        <v>0.2</v>
      </c>
      <c r="H35" s="10">
        <v>1000000.0</v>
      </c>
      <c r="I35" s="10">
        <v>0.0</v>
      </c>
      <c r="J35" s="10">
        <f t="shared" si="25"/>
        <v>50000</v>
      </c>
      <c r="K35" s="10">
        <f t="shared" si="26"/>
        <v>120000</v>
      </c>
      <c r="L35" s="10">
        <f t="shared" si="22"/>
        <v>144000</v>
      </c>
      <c r="M35" s="10">
        <f t="shared" si="23"/>
        <v>172800</v>
      </c>
      <c r="N35" s="10">
        <f t="shared" si="24"/>
        <v>207360</v>
      </c>
      <c r="O35" s="6" t="s">
        <v>29</v>
      </c>
      <c r="P35" s="6" t="s">
        <v>24</v>
      </c>
      <c r="Q35" s="6"/>
    </row>
    <row r="36" ht="15.75" customHeight="1">
      <c r="A36" s="11" t="s">
        <v>66</v>
      </c>
      <c r="B36" s="11" t="s">
        <v>20</v>
      </c>
      <c r="C36" s="12" t="s">
        <v>32</v>
      </c>
      <c r="D36" s="12" t="s">
        <v>49</v>
      </c>
      <c r="E36" s="12">
        <v>2027.0</v>
      </c>
      <c r="F36" s="14">
        <v>100000.0</v>
      </c>
      <c r="G36" s="9">
        <v>0.2</v>
      </c>
      <c r="H36" s="14">
        <v>1000000.0</v>
      </c>
      <c r="I36" s="14">
        <v>0.0</v>
      </c>
      <c r="J36" s="14">
        <f t="shared" si="25"/>
        <v>50000</v>
      </c>
      <c r="K36" s="14">
        <f t="shared" si="26"/>
        <v>120000</v>
      </c>
      <c r="L36" s="14">
        <f t="shared" si="22"/>
        <v>144000</v>
      </c>
      <c r="M36" s="14">
        <f t="shared" si="23"/>
        <v>172800</v>
      </c>
      <c r="N36" s="14">
        <f t="shared" si="24"/>
        <v>207360</v>
      </c>
      <c r="O36" s="12" t="s">
        <v>29</v>
      </c>
      <c r="P36" s="12" t="s">
        <v>24</v>
      </c>
      <c r="Q36" s="12"/>
    </row>
    <row r="37" ht="15.75" customHeight="1">
      <c r="A37" s="5" t="s">
        <v>67</v>
      </c>
      <c r="B37" s="5" t="s">
        <v>53</v>
      </c>
      <c r="C37" s="6" t="s">
        <v>32</v>
      </c>
      <c r="D37" s="6" t="s">
        <v>49</v>
      </c>
      <c r="E37" s="6">
        <v>2028.0</v>
      </c>
      <c r="F37" s="10">
        <v>100000.0</v>
      </c>
      <c r="G37" s="15">
        <v>0.2</v>
      </c>
      <c r="H37" s="10">
        <v>1000000.0</v>
      </c>
      <c r="I37" s="10">
        <v>0.0</v>
      </c>
      <c r="J37" s="10">
        <v>0.0</v>
      </c>
      <c r="K37" s="10">
        <f t="shared" ref="K37:K40" si="27">F37*0.5</f>
        <v>50000</v>
      </c>
      <c r="L37" s="10">
        <f t="shared" ref="L37:L40" si="28">MIN(F37*(1+G37),H37)</f>
        <v>120000</v>
      </c>
      <c r="M37" s="10">
        <f t="shared" si="23"/>
        <v>144000</v>
      </c>
      <c r="N37" s="10">
        <f t="shared" si="24"/>
        <v>172800</v>
      </c>
      <c r="O37" s="6" t="s">
        <v>29</v>
      </c>
      <c r="P37" s="6" t="s">
        <v>24</v>
      </c>
      <c r="Q37" s="6"/>
    </row>
    <row r="38" ht="15.75" customHeight="1">
      <c r="A38" s="11" t="s">
        <v>68</v>
      </c>
      <c r="B38" s="11" t="s">
        <v>53</v>
      </c>
      <c r="C38" s="12" t="s">
        <v>32</v>
      </c>
      <c r="D38" s="12" t="s">
        <v>49</v>
      </c>
      <c r="E38" s="12">
        <v>2028.0</v>
      </c>
      <c r="F38" s="14">
        <v>100000.0</v>
      </c>
      <c r="G38" s="9">
        <v>0.2</v>
      </c>
      <c r="H38" s="14">
        <v>1000000.0</v>
      </c>
      <c r="I38" s="14">
        <v>0.0</v>
      </c>
      <c r="J38" s="14">
        <v>0.0</v>
      </c>
      <c r="K38" s="14">
        <f t="shared" si="27"/>
        <v>50000</v>
      </c>
      <c r="L38" s="14">
        <f t="shared" si="28"/>
        <v>120000</v>
      </c>
      <c r="M38" s="14">
        <f t="shared" si="23"/>
        <v>144000</v>
      </c>
      <c r="N38" s="14">
        <f t="shared" si="24"/>
        <v>172800</v>
      </c>
      <c r="O38" s="12" t="s">
        <v>29</v>
      </c>
      <c r="P38" s="12" t="s">
        <v>24</v>
      </c>
      <c r="Q38" s="12"/>
    </row>
    <row r="39" ht="15.75" customHeight="1">
      <c r="A39" s="5" t="s">
        <v>69</v>
      </c>
      <c r="B39" s="5" t="s">
        <v>20</v>
      </c>
      <c r="C39" s="6" t="s">
        <v>32</v>
      </c>
      <c r="D39" s="6" t="s">
        <v>49</v>
      </c>
      <c r="E39" s="6">
        <v>2028.0</v>
      </c>
      <c r="F39" s="10">
        <v>100000.0</v>
      </c>
      <c r="G39" s="15">
        <v>0.2</v>
      </c>
      <c r="H39" s="10">
        <v>1000000.0</v>
      </c>
      <c r="I39" s="10">
        <v>0.0</v>
      </c>
      <c r="J39" s="10">
        <v>0.0</v>
      </c>
      <c r="K39" s="10">
        <f t="shared" si="27"/>
        <v>50000</v>
      </c>
      <c r="L39" s="10">
        <f t="shared" si="28"/>
        <v>120000</v>
      </c>
      <c r="M39" s="10">
        <f t="shared" si="23"/>
        <v>144000</v>
      </c>
      <c r="N39" s="10">
        <f t="shared" si="24"/>
        <v>172800</v>
      </c>
      <c r="O39" s="6" t="s">
        <v>29</v>
      </c>
      <c r="P39" s="6" t="s">
        <v>24</v>
      </c>
      <c r="Q39" s="6"/>
    </row>
    <row r="40" ht="15.75" customHeight="1">
      <c r="A40" s="11" t="s">
        <v>70</v>
      </c>
      <c r="B40" s="11" t="s">
        <v>20</v>
      </c>
      <c r="C40" s="12" t="s">
        <v>32</v>
      </c>
      <c r="D40" s="12" t="s">
        <v>49</v>
      </c>
      <c r="E40" s="12">
        <v>2028.0</v>
      </c>
      <c r="F40" s="14">
        <v>100000.0</v>
      </c>
      <c r="G40" s="9">
        <v>0.2</v>
      </c>
      <c r="H40" s="14">
        <v>1000000.0</v>
      </c>
      <c r="I40" s="14">
        <v>0.0</v>
      </c>
      <c r="J40" s="14">
        <v>0.0</v>
      </c>
      <c r="K40" s="14">
        <f t="shared" si="27"/>
        <v>50000</v>
      </c>
      <c r="L40" s="14">
        <f t="shared" si="28"/>
        <v>120000</v>
      </c>
      <c r="M40" s="14">
        <f t="shared" si="23"/>
        <v>144000</v>
      </c>
      <c r="N40" s="14">
        <f t="shared" si="24"/>
        <v>172800</v>
      </c>
      <c r="O40" s="12" t="s">
        <v>29</v>
      </c>
      <c r="P40" s="12" t="s">
        <v>24</v>
      </c>
      <c r="Q40" s="12"/>
    </row>
    <row r="41" ht="27.75" customHeight="1">
      <c r="A41" s="1" t="s">
        <v>71</v>
      </c>
      <c r="B41" s="2"/>
      <c r="C41" s="2"/>
      <c r="D41" s="2"/>
      <c r="E41" s="2"/>
      <c r="F41" s="17">
        <f>SUM(F29:F40)</f>
        <v>1200000</v>
      </c>
      <c r="G41" s="2"/>
      <c r="H41" s="2"/>
      <c r="I41" s="17">
        <f t="shared" ref="I41:N41" si="29">SUM(I29:I40)</f>
        <v>200000</v>
      </c>
      <c r="J41" s="17">
        <f t="shared" si="29"/>
        <v>680000</v>
      </c>
      <c r="K41" s="17">
        <f t="shared" si="29"/>
        <v>1256000</v>
      </c>
      <c r="L41" s="17">
        <f t="shared" si="29"/>
        <v>1747200</v>
      </c>
      <c r="M41" s="17">
        <f t="shared" si="29"/>
        <v>2096640</v>
      </c>
      <c r="N41" s="17">
        <f t="shared" si="29"/>
        <v>2515968</v>
      </c>
      <c r="O41" s="2"/>
      <c r="P41" s="2"/>
      <c r="Q41" s="2"/>
    </row>
    <row r="42" ht="15.75" customHeight="1"/>
    <row r="43" ht="31.5" customHeight="1">
      <c r="A43" s="3" t="s">
        <v>72</v>
      </c>
      <c r="B43" s="4"/>
      <c r="C43" s="4"/>
      <c r="D43" s="4"/>
      <c r="E43" s="4"/>
      <c r="F43" s="18">
        <f>F14+F26+F41</f>
        <v>9750000</v>
      </c>
      <c r="G43" s="4"/>
      <c r="H43" s="4"/>
      <c r="I43" s="18">
        <f t="shared" ref="I43:N43" si="30">I14+I26+I41</f>
        <v>3125000</v>
      </c>
      <c r="J43" s="18">
        <f t="shared" si="30"/>
        <v>6665000</v>
      </c>
      <c r="K43" s="18">
        <f t="shared" si="30"/>
        <v>10593000</v>
      </c>
      <c r="L43" s="18">
        <f t="shared" si="30"/>
        <v>13261600</v>
      </c>
      <c r="M43" s="18">
        <f t="shared" si="30"/>
        <v>14273920</v>
      </c>
      <c r="N43" s="18">
        <f t="shared" si="30"/>
        <v>15128704</v>
      </c>
      <c r="O43" s="4"/>
      <c r="P43" s="4"/>
      <c r="Q43" s="4"/>
    </row>
    <row r="44" ht="27.75" customHeight="1">
      <c r="A44" s="1" t="s">
        <v>73</v>
      </c>
      <c r="B44" s="2"/>
      <c r="C44" s="2"/>
      <c r="D44" s="2"/>
      <c r="E44" s="2"/>
      <c r="F44" s="2"/>
      <c r="G44" s="2"/>
      <c r="H44" s="2"/>
      <c r="I44" s="17">
        <f t="shared" ref="I44:N44" si="31">I43*0.3</f>
        <v>937500</v>
      </c>
      <c r="J44" s="17">
        <f t="shared" si="31"/>
        <v>1999500</v>
      </c>
      <c r="K44" s="17">
        <f t="shared" si="31"/>
        <v>3177900</v>
      </c>
      <c r="L44" s="17">
        <f t="shared" si="31"/>
        <v>3978480</v>
      </c>
      <c r="M44" s="17">
        <f t="shared" si="31"/>
        <v>4282176</v>
      </c>
      <c r="N44" s="17">
        <f t="shared" si="31"/>
        <v>4538611.2</v>
      </c>
      <c r="O44" s="2"/>
      <c r="P44" s="2"/>
      <c r="Q44" s="2"/>
    </row>
    <row r="45" ht="27.75" customHeight="1">
      <c r="A45" s="1" t="s">
        <v>74</v>
      </c>
      <c r="B45" s="2"/>
      <c r="C45" s="2"/>
      <c r="D45" s="2"/>
      <c r="E45" s="2"/>
      <c r="F45" s="2"/>
      <c r="G45" s="2"/>
      <c r="H45" s="2"/>
      <c r="I45" s="19">
        <f t="shared" ref="I45:N45" si="32">COUNTIF(I5:I40,"&gt;"&amp;0)</f>
        <v>18</v>
      </c>
      <c r="J45" s="19">
        <f t="shared" si="32"/>
        <v>25</v>
      </c>
      <c r="K45" s="19">
        <f t="shared" si="32"/>
        <v>32</v>
      </c>
      <c r="L45" s="19">
        <f t="shared" si="32"/>
        <v>32</v>
      </c>
      <c r="M45" s="19">
        <f t="shared" si="32"/>
        <v>32</v>
      </c>
      <c r="N45" s="19">
        <f t="shared" si="32"/>
        <v>32</v>
      </c>
      <c r="O45" s="2"/>
      <c r="P45" s="2"/>
      <c r="Q45" s="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75</v>
      </c>
      <c r="B1" s="20" t="s">
        <v>3</v>
      </c>
      <c r="C1" s="20" t="s">
        <v>76</v>
      </c>
      <c r="D1" s="20" t="s">
        <v>77</v>
      </c>
      <c r="E1" s="20" t="s">
        <v>78</v>
      </c>
      <c r="F1" s="20" t="s">
        <v>79</v>
      </c>
      <c r="G1" s="20" t="s">
        <v>80</v>
      </c>
      <c r="H1" s="20" t="s">
        <v>81</v>
      </c>
      <c r="I1" s="20" t="s">
        <v>82</v>
      </c>
      <c r="J1" s="20" t="s">
        <v>83</v>
      </c>
      <c r="K1" s="20" t="s">
        <v>84</v>
      </c>
      <c r="L1" s="20" t="s">
        <v>85</v>
      </c>
      <c r="M1" s="20" t="s">
        <v>86</v>
      </c>
      <c r="N1" s="20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6.0"/>
    <col customWidth="1" min="3" max="3" width="35.0"/>
    <col customWidth="1" min="4" max="26" width="8.71"/>
  </cols>
  <sheetData>
    <row r="1" ht="27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1.5" customHeight="1">
      <c r="A2" s="3" t="s">
        <v>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7.75" customHeight="1">
      <c r="A3" s="1" t="s">
        <v>88</v>
      </c>
      <c r="B3" s="2" t="s">
        <v>89</v>
      </c>
      <c r="C3" s="2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1" t="s">
        <v>90</v>
      </c>
      <c r="B4" s="22">
        <v>0.2</v>
      </c>
      <c r="C4" s="21" t="s">
        <v>91</v>
      </c>
    </row>
    <row r="5">
      <c r="A5" s="21" t="s">
        <v>92</v>
      </c>
      <c r="B5" s="23">
        <v>1000000.0</v>
      </c>
      <c r="C5" s="21" t="s">
        <v>93</v>
      </c>
    </row>
    <row r="6">
      <c r="A6" s="21" t="s">
        <v>94</v>
      </c>
      <c r="B6" s="22">
        <v>0.3</v>
      </c>
      <c r="C6" s="21" t="s">
        <v>95</v>
      </c>
    </row>
    <row r="7">
      <c r="A7" s="21" t="s">
        <v>96</v>
      </c>
      <c r="B7" s="24" t="s">
        <v>29</v>
      </c>
      <c r="C7" s="21" t="s">
        <v>97</v>
      </c>
    </row>
    <row r="8">
      <c r="A8" s="21" t="s">
        <v>98</v>
      </c>
      <c r="B8" s="24" t="s">
        <v>23</v>
      </c>
      <c r="C8" s="21" t="s">
        <v>99</v>
      </c>
    </row>
    <row r="9">
      <c r="A9" s="21" t="s">
        <v>100</v>
      </c>
      <c r="B9" s="22">
        <v>0.1</v>
      </c>
      <c r="C9" s="21" t="s">
        <v>101</v>
      </c>
    </row>
    <row r="10">
      <c r="A10" s="21"/>
      <c r="C10" s="21"/>
    </row>
    <row r="11">
      <c r="A11" s="21" t="s">
        <v>102</v>
      </c>
      <c r="C11" s="21"/>
    </row>
    <row r="12">
      <c r="A12" s="21" t="s">
        <v>103</v>
      </c>
      <c r="B12" s="25">
        <v>3.0</v>
      </c>
      <c r="C12" s="21" t="s">
        <v>104</v>
      </c>
    </row>
    <row r="13">
      <c r="A13" s="21" t="s">
        <v>105</v>
      </c>
      <c r="B13" s="23">
        <v>750000.0</v>
      </c>
      <c r="C13" s="21" t="s">
        <v>106</v>
      </c>
    </row>
    <row r="14">
      <c r="A14" s="21" t="s">
        <v>107</v>
      </c>
      <c r="B14" s="22">
        <v>0.5</v>
      </c>
      <c r="C14" s="21" t="s">
        <v>108</v>
      </c>
    </row>
    <row r="15">
      <c r="A15" s="21"/>
      <c r="C15" s="21"/>
    </row>
    <row r="16">
      <c r="A16" s="21" t="s">
        <v>109</v>
      </c>
      <c r="C16" s="21"/>
    </row>
    <row r="17">
      <c r="A17" s="21" t="s">
        <v>110</v>
      </c>
      <c r="B17" s="25">
        <v>4.0</v>
      </c>
      <c r="C17" s="21" t="s">
        <v>111</v>
      </c>
    </row>
    <row r="18">
      <c r="A18" s="21" t="s">
        <v>112</v>
      </c>
      <c r="B18" s="23">
        <v>100000.0</v>
      </c>
      <c r="C18" s="21" t="s">
        <v>113</v>
      </c>
    </row>
    <row r="19">
      <c r="A19" s="21" t="s">
        <v>107</v>
      </c>
      <c r="B19" s="22">
        <v>0.5</v>
      </c>
      <c r="C19" s="21" t="s">
        <v>114</v>
      </c>
    </row>
    <row r="20">
      <c r="A20" s="21"/>
      <c r="C20" s="21"/>
    </row>
    <row r="21" ht="15.75" customHeight="1">
      <c r="A21" s="21" t="s">
        <v>115</v>
      </c>
      <c r="C21" s="21"/>
    </row>
    <row r="22" ht="15.75" customHeight="1">
      <c r="A22" s="21" t="s">
        <v>116</v>
      </c>
      <c r="B22" s="25">
        <v>2024.0</v>
      </c>
      <c r="C22" s="21" t="s">
        <v>117</v>
      </c>
    </row>
    <row r="23" ht="15.75" customHeight="1">
      <c r="A23" s="21" t="s">
        <v>54</v>
      </c>
      <c r="B23" s="25">
        <v>2028.0</v>
      </c>
      <c r="C23" s="21" t="s">
        <v>118</v>
      </c>
    </row>
    <row r="24" ht="15.75" customHeight="1">
      <c r="A24" s="21" t="s">
        <v>119</v>
      </c>
      <c r="B24" s="25">
        <v>2030.0</v>
      </c>
      <c r="C24" s="21" t="s">
        <v>118</v>
      </c>
    </row>
    <row r="25" ht="15.75" customHeight="1"/>
    <row r="26" ht="15.75" customHeight="1">
      <c r="A26" s="20" t="s">
        <v>120</v>
      </c>
    </row>
    <row r="27" ht="15.75" customHeight="1">
      <c r="A27" s="20" t="s">
        <v>121</v>
      </c>
      <c r="B27" s="20">
        <v>825000.0</v>
      </c>
      <c r="C27" s="20" t="s">
        <v>122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5" width="14.0"/>
    <col customWidth="1" min="6" max="7" width="16.0"/>
    <col customWidth="1" min="8" max="8" width="14.0"/>
    <col customWidth="1" min="9" max="9" width="20.0"/>
    <col customWidth="1" min="10" max="26" width="8.71"/>
  </cols>
  <sheetData>
    <row r="1" ht="27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1.5" customHeight="1">
      <c r="A2" s="3" t="s">
        <v>123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ht="31.5" customHeight="1">
      <c r="A4" s="3" t="s">
        <v>124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7.75" customHeight="1">
      <c r="A5" s="1" t="s">
        <v>125</v>
      </c>
      <c r="B5" s="2" t="s">
        <v>1</v>
      </c>
      <c r="C5" s="2" t="s">
        <v>2</v>
      </c>
      <c r="D5" s="2" t="s">
        <v>9</v>
      </c>
      <c r="E5" s="2" t="s">
        <v>126</v>
      </c>
      <c r="F5" s="2" t="s">
        <v>4</v>
      </c>
      <c r="G5" s="2" t="s">
        <v>127</v>
      </c>
      <c r="H5" s="2" t="s">
        <v>128</v>
      </c>
      <c r="I5" s="2" t="s">
        <v>129</v>
      </c>
      <c r="J5" s="2"/>
      <c r="K5" s="2"/>
      <c r="L5" s="2"/>
      <c r="M5" s="2"/>
      <c r="N5" s="2"/>
      <c r="O5" s="2"/>
      <c r="P5" s="2"/>
      <c r="Q5" s="2"/>
    </row>
    <row r="6">
      <c r="A6" s="5">
        <v>1.0</v>
      </c>
      <c r="B6" s="5" t="s">
        <v>19</v>
      </c>
      <c r="C6" s="6" t="s">
        <v>20</v>
      </c>
      <c r="D6" s="10">
        <f>ROSTER!I5</f>
        <v>750000</v>
      </c>
      <c r="E6" s="6" t="s">
        <v>130</v>
      </c>
      <c r="F6" s="6" t="s">
        <v>131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A7" s="11">
        <v>2.0</v>
      </c>
      <c r="B7" s="11" t="s">
        <v>31</v>
      </c>
      <c r="C7" s="12" t="s">
        <v>20</v>
      </c>
      <c r="D7" s="14">
        <f>ROSTER!I7</f>
        <v>330000</v>
      </c>
      <c r="E7" s="12" t="s">
        <v>130</v>
      </c>
      <c r="F7" s="12" t="s">
        <v>28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>
      <c r="A8" s="5">
        <v>3.0</v>
      </c>
      <c r="B8" s="5" t="s">
        <v>132</v>
      </c>
      <c r="C8" s="6" t="s">
        <v>20</v>
      </c>
      <c r="D8" s="10">
        <f>ROSTER!I17</f>
        <v>375000</v>
      </c>
      <c r="E8" s="6" t="s">
        <v>133</v>
      </c>
      <c r="F8" s="6" t="s">
        <v>44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>
      <c r="A9" s="11">
        <v>4.0</v>
      </c>
      <c r="B9" s="11" t="s">
        <v>134</v>
      </c>
      <c r="C9" s="12" t="s">
        <v>20</v>
      </c>
      <c r="D9" s="14">
        <f>ROSTER!I18</f>
        <v>375000</v>
      </c>
      <c r="E9" s="12" t="s">
        <v>133</v>
      </c>
      <c r="F9" s="12" t="s">
        <v>44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>
      <c r="A10" s="5">
        <v>5.0</v>
      </c>
      <c r="B10" s="5" t="s">
        <v>135</v>
      </c>
      <c r="C10" s="6" t="s">
        <v>20</v>
      </c>
      <c r="D10" s="10">
        <f>ROSTER!I19</f>
        <v>375000</v>
      </c>
      <c r="E10" s="6" t="s">
        <v>133</v>
      </c>
      <c r="F10" s="6" t="s">
        <v>44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>
      <c r="A11" s="11">
        <v>6.0</v>
      </c>
      <c r="B11" s="11" t="s">
        <v>36</v>
      </c>
      <c r="C11" s="12" t="s">
        <v>20</v>
      </c>
      <c r="D11" s="14">
        <f>ROSTER!I10</f>
        <v>350000</v>
      </c>
      <c r="E11" s="12" t="s">
        <v>130</v>
      </c>
      <c r="F11" s="12" t="s">
        <v>28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>
      <c r="A12" s="5">
        <v>7.0</v>
      </c>
      <c r="B12" s="5" t="s">
        <v>26</v>
      </c>
      <c r="C12" s="6" t="s">
        <v>20</v>
      </c>
      <c r="D12" s="10">
        <f>ROSTER!I6</f>
        <v>60000</v>
      </c>
      <c r="E12" s="6" t="s">
        <v>130</v>
      </c>
      <c r="F12" s="6" t="s">
        <v>28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>
      <c r="A13" s="11">
        <v>8.0</v>
      </c>
      <c r="B13" s="11" t="s">
        <v>33</v>
      </c>
      <c r="C13" s="12" t="s">
        <v>20</v>
      </c>
      <c r="D13" s="14">
        <f>ROSTER!I8</f>
        <v>60000</v>
      </c>
      <c r="E13" s="12" t="s">
        <v>130</v>
      </c>
      <c r="F13" s="12" t="s">
        <v>28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>
      <c r="A14" s="5">
        <v>9.0</v>
      </c>
      <c r="B14" s="5" t="s">
        <v>37</v>
      </c>
      <c r="C14" s="6" t="s">
        <v>20</v>
      </c>
      <c r="D14" s="10">
        <f>ROSTER!I11</f>
        <v>100000</v>
      </c>
      <c r="E14" s="6" t="s">
        <v>130</v>
      </c>
      <c r="F14" s="6" t="s">
        <v>28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11">
        <v>10.0</v>
      </c>
      <c r="B15" s="11" t="s">
        <v>38</v>
      </c>
      <c r="C15" s="12" t="s">
        <v>20</v>
      </c>
      <c r="D15" s="14">
        <f>ROSTER!I12</f>
        <v>50000</v>
      </c>
      <c r="E15" s="12" t="s">
        <v>130</v>
      </c>
      <c r="F15" s="12" t="s">
        <v>28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>
      <c r="A16" s="5">
        <v>11.0</v>
      </c>
      <c r="B16" s="5" t="s">
        <v>39</v>
      </c>
      <c r="C16" s="6" t="s">
        <v>20</v>
      </c>
      <c r="D16" s="10">
        <f>ROSTER!I13</f>
        <v>50000</v>
      </c>
      <c r="E16" s="6" t="s">
        <v>130</v>
      </c>
      <c r="F16" s="6" t="s">
        <v>28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8" ht="31.5" customHeight="1">
      <c r="A18" s="3" t="s">
        <v>136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27.75" customHeight="1">
      <c r="A19" s="1" t="s">
        <v>137</v>
      </c>
      <c r="B19" s="2" t="s">
        <v>2</v>
      </c>
      <c r="C19" s="2" t="s">
        <v>5</v>
      </c>
      <c r="D19" s="2" t="s">
        <v>112</v>
      </c>
      <c r="E19" s="2" t="s">
        <v>4</v>
      </c>
      <c r="F19" s="2" t="s">
        <v>138</v>
      </c>
      <c r="G19" s="2" t="s">
        <v>139</v>
      </c>
      <c r="H19" s="2" t="s">
        <v>140</v>
      </c>
      <c r="I19" s="2" t="s">
        <v>17</v>
      </c>
      <c r="J19" s="2"/>
      <c r="K19" s="2"/>
      <c r="L19" s="2"/>
      <c r="M19" s="2"/>
      <c r="N19" s="2"/>
      <c r="O19" s="2"/>
      <c r="P19" s="2"/>
      <c r="Q19" s="2"/>
    </row>
    <row r="20">
      <c r="A20" s="5" t="str">
        <f>ROSTER!A17</f>
        <v>TBD — Targeted 2026 #1</v>
      </c>
      <c r="B20" s="5" t="str">
        <f>ROSTER!B17</f>
        <v>EH</v>
      </c>
      <c r="C20" s="6">
        <f>ROSTER!E17</f>
        <v>2026</v>
      </c>
      <c r="D20" s="10">
        <f>ROSTER!F17</f>
        <v>750000</v>
      </c>
      <c r="E20" s="6" t="str">
        <f>ROSTER!D17</f>
        <v>Recruiting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5.75" customHeight="1">
      <c r="A21" s="11" t="str">
        <f>ROSTER!A18</f>
        <v>TBD — Targeted 2026 #2</v>
      </c>
      <c r="B21" s="11" t="str">
        <f>ROSTER!B18</f>
        <v>EH</v>
      </c>
      <c r="C21" s="12">
        <f>ROSTER!E18</f>
        <v>2026</v>
      </c>
      <c r="D21" s="14">
        <f>ROSTER!F18</f>
        <v>750000</v>
      </c>
      <c r="E21" s="12" t="str">
        <f>ROSTER!D18</f>
        <v>Recruiting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ht="15.75" customHeight="1">
      <c r="A22" s="5" t="str">
        <f>ROSTER!A19</f>
        <v>TBD — Targeted 2026 #3</v>
      </c>
      <c r="B22" s="5" t="str">
        <f>ROSTER!B19</f>
        <v>EH</v>
      </c>
      <c r="C22" s="6">
        <f>ROSTER!E19</f>
        <v>2026</v>
      </c>
      <c r="D22" s="10">
        <f>ROSTER!F19</f>
        <v>750000</v>
      </c>
      <c r="E22" s="6" t="str">
        <f>ROSTER!D19</f>
        <v>Recruiting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5.75" customHeight="1">
      <c r="A23" s="11" t="str">
        <f>ROSTER!A20</f>
        <v>TBD — Targeted 2027 #1</v>
      </c>
      <c r="B23" s="11" t="str">
        <f>ROSTER!B20</f>
        <v>EH</v>
      </c>
      <c r="C23" s="12">
        <f>ROSTER!E20</f>
        <v>2027</v>
      </c>
      <c r="D23" s="14">
        <f>ROSTER!F20</f>
        <v>750000</v>
      </c>
      <c r="E23" s="12" t="str">
        <f>ROSTER!D20</f>
        <v>Planned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ht="15.75" customHeight="1">
      <c r="A24" s="5" t="str">
        <f>ROSTER!A21</f>
        <v>TBD — Targeted 2027 #2</v>
      </c>
      <c r="B24" s="5" t="str">
        <f>ROSTER!B21</f>
        <v>EH</v>
      </c>
      <c r="C24" s="6">
        <f>ROSTER!E21</f>
        <v>2027</v>
      </c>
      <c r="D24" s="10">
        <f>ROSTER!F21</f>
        <v>750000</v>
      </c>
      <c r="E24" s="6" t="str">
        <f>ROSTER!D21</f>
        <v>Planned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5.75" customHeight="1">
      <c r="A25" s="11" t="str">
        <f>ROSTER!A22</f>
        <v>TBD — Targeted 2027 #3</v>
      </c>
      <c r="B25" s="11" t="str">
        <f>ROSTER!B22</f>
        <v>EH</v>
      </c>
      <c r="C25" s="12">
        <f>ROSTER!E22</f>
        <v>2027</v>
      </c>
      <c r="D25" s="14">
        <f>ROSTER!F22</f>
        <v>750000</v>
      </c>
      <c r="E25" s="12" t="str">
        <f>ROSTER!D22</f>
        <v>Planned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ht="15.75" customHeight="1">
      <c r="A26" s="5" t="str">
        <f>ROSTER!A23</f>
        <v>TBD — Targeted 2028 #1</v>
      </c>
      <c r="B26" s="5" t="str">
        <f>ROSTER!B23</f>
        <v>SH</v>
      </c>
      <c r="C26" s="6">
        <f>ROSTER!E23</f>
        <v>2028</v>
      </c>
      <c r="D26" s="10">
        <f>ROSTER!F23</f>
        <v>750000</v>
      </c>
      <c r="E26" s="6" t="str">
        <f>ROSTER!D23</f>
        <v>Planned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5.75" customHeight="1">
      <c r="A27" s="11" t="str">
        <f>ROSTER!A24</f>
        <v>TBD — Targeted 2028 #2</v>
      </c>
      <c r="B27" s="11" t="str">
        <f>ROSTER!B24</f>
        <v>SH</v>
      </c>
      <c r="C27" s="12">
        <f>ROSTER!E24</f>
        <v>2028</v>
      </c>
      <c r="D27" s="14">
        <f>ROSTER!F24</f>
        <v>750000</v>
      </c>
      <c r="E27" s="12" t="str">
        <f>ROSTER!D24</f>
        <v>Planned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5.75" customHeight="1">
      <c r="A28" s="5" t="str">
        <f>ROSTER!A25</f>
        <v>TBD — Targeted 2028 #3</v>
      </c>
      <c r="B28" s="5" t="str">
        <f>ROSTER!B25</f>
        <v>EH</v>
      </c>
      <c r="C28" s="6">
        <f>ROSTER!E25</f>
        <v>2028</v>
      </c>
      <c r="D28" s="10">
        <f>ROSTER!F25</f>
        <v>750000</v>
      </c>
      <c r="E28" s="6" t="str">
        <f>ROSTER!D25</f>
        <v>Planned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5.75" customHeight="1"/>
    <row r="30" ht="31.5" customHeight="1">
      <c r="A30" s="26" t="s">
        <v>141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ht="27.75" customHeight="1">
      <c r="A31" s="1" t="s">
        <v>1</v>
      </c>
      <c r="B31" s="2" t="s">
        <v>2</v>
      </c>
      <c r="C31" s="2" t="s">
        <v>142</v>
      </c>
      <c r="D31" s="2" t="s">
        <v>143</v>
      </c>
      <c r="E31" s="2" t="s">
        <v>144</v>
      </c>
      <c r="F31" s="2" t="s">
        <v>145</v>
      </c>
      <c r="G31" s="2" t="s">
        <v>146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5.75" customHeight="1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5.75" customHeight="1">
      <c r="A33" s="11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ht="15.75" customHeight="1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5.75" customHeight="1">
      <c r="A35" s="11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15.75" customHeight="1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5" width="14.0"/>
    <col customWidth="1" min="6" max="6" width="16.0"/>
    <col customWidth="1" min="7" max="8" width="14.0"/>
    <col customWidth="1" min="9" max="26" width="8.71"/>
  </cols>
  <sheetData>
    <row r="1" ht="27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1.5" customHeight="1">
      <c r="A2" s="3" t="s">
        <v>147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ht="27.75" customHeight="1">
      <c r="A4" s="1" t="s">
        <v>148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5" t="s">
        <v>9</v>
      </c>
      <c r="B5" s="28">
        <f>ROSTER!I43</f>
        <v>3125000</v>
      </c>
      <c r="C5" s="6" t="s">
        <v>149</v>
      </c>
      <c r="D5" s="29">
        <f>ROSTER!I45</f>
        <v>18</v>
      </c>
      <c r="E5" s="6" t="s">
        <v>150</v>
      </c>
      <c r="F5" s="10">
        <f>ROSTER!I44</f>
        <v>937500</v>
      </c>
      <c r="G5" s="6" t="s">
        <v>151</v>
      </c>
      <c r="H5" s="6">
        <v>2028.0</v>
      </c>
      <c r="I5" s="6" t="s">
        <v>152</v>
      </c>
      <c r="J5" s="6">
        <v>2030.0</v>
      </c>
      <c r="K5" s="6"/>
      <c r="L5" s="6"/>
      <c r="M5" s="6"/>
      <c r="N5" s="6"/>
      <c r="O5" s="6"/>
      <c r="P5" s="6"/>
      <c r="Q5" s="6"/>
    </row>
    <row r="7" ht="31.5" customHeight="1">
      <c r="A7" s="3" t="s">
        <v>153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ht="27.75" customHeight="1">
      <c r="A8" s="1" t="s">
        <v>2</v>
      </c>
      <c r="B8" s="2" t="s">
        <v>149</v>
      </c>
      <c r="C8" s="2" t="s">
        <v>154</v>
      </c>
      <c r="D8" s="2" t="s">
        <v>150</v>
      </c>
      <c r="E8" s="2" t="s">
        <v>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5" t="s">
        <v>116</v>
      </c>
      <c r="B9" s="30">
        <f>ROSTER!I45</f>
        <v>18</v>
      </c>
      <c r="C9" s="10">
        <f>ROSTER!I43</f>
        <v>3125000</v>
      </c>
      <c r="D9" s="10">
        <f>C9*0.3</f>
        <v>937500</v>
      </c>
      <c r="E9" s="6" t="s">
        <v>155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>
      <c r="A10" s="11" t="s">
        <v>54</v>
      </c>
      <c r="B10" s="11"/>
      <c r="C10" s="12"/>
      <c r="D10" s="12"/>
      <c r="E10" s="12" t="s">
        <v>156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>
      <c r="A11" s="5" t="s">
        <v>119</v>
      </c>
      <c r="B11" s="5"/>
      <c r="C11" s="6"/>
      <c r="D11" s="6"/>
      <c r="E11" s="6" t="s">
        <v>157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31.5" customHeight="1">
      <c r="A12" s="3" t="s">
        <v>158</v>
      </c>
      <c r="B12" s="31">
        <f t="shared" ref="B12:D12" si="1">B9</f>
        <v>18</v>
      </c>
      <c r="C12" s="18">
        <f t="shared" si="1"/>
        <v>3125000</v>
      </c>
      <c r="D12" s="18">
        <f t="shared" si="1"/>
        <v>937500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4" ht="31.5" customHeight="1">
      <c r="A14" s="3" t="s">
        <v>159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27.75" customHeight="1">
      <c r="A15" s="1" t="s">
        <v>160</v>
      </c>
      <c r="B15" s="2" t="s">
        <v>149</v>
      </c>
      <c r="C15" s="2" t="s">
        <v>161</v>
      </c>
      <c r="D15" s="2" t="s">
        <v>162</v>
      </c>
      <c r="E15" s="2" t="s">
        <v>163</v>
      </c>
      <c r="F15" s="2" t="s">
        <v>164</v>
      </c>
      <c r="G15" s="2" t="s">
        <v>150</v>
      </c>
      <c r="H15" s="2" t="s">
        <v>165</v>
      </c>
      <c r="I15" s="2"/>
      <c r="J15" s="2"/>
      <c r="K15" s="2"/>
      <c r="L15" s="2"/>
      <c r="M15" s="2"/>
      <c r="N15" s="2"/>
      <c r="O15" s="2"/>
      <c r="P15" s="2"/>
      <c r="Q15" s="2"/>
    </row>
    <row r="16">
      <c r="A16" s="5">
        <v>2026.0</v>
      </c>
      <c r="B16" s="30">
        <f>ROSTER!I45</f>
        <v>18</v>
      </c>
      <c r="C16" s="10">
        <f>ROSTER!I14</f>
        <v>1800000</v>
      </c>
      <c r="D16" s="10">
        <f>ROSTER!I26</f>
        <v>1125000</v>
      </c>
      <c r="E16" s="10">
        <f>ROSTER!I41</f>
        <v>200000</v>
      </c>
      <c r="F16" s="10">
        <f>ROSTER!I43</f>
        <v>3125000</v>
      </c>
      <c r="G16" s="10">
        <f t="shared" ref="G16:G21" si="2">F16*0.3</f>
        <v>937500</v>
      </c>
      <c r="H16" s="10">
        <f t="shared" ref="H16:H21" si="3">IF(B16&gt;0,F16/B16,0)</f>
        <v>173611.1111</v>
      </c>
      <c r="I16" s="6"/>
      <c r="J16" s="6"/>
      <c r="K16" s="6"/>
      <c r="L16" s="6"/>
      <c r="M16" s="6"/>
      <c r="N16" s="6"/>
      <c r="O16" s="6"/>
      <c r="P16" s="6"/>
      <c r="Q16" s="6"/>
    </row>
    <row r="17">
      <c r="A17" s="11">
        <v>2027.0</v>
      </c>
      <c r="B17" s="32">
        <f>ROSTER!J45</f>
        <v>25</v>
      </c>
      <c r="C17" s="14">
        <f>ROSTER!J14</f>
        <v>2160000</v>
      </c>
      <c r="D17" s="14">
        <f>ROSTER!J26</f>
        <v>3825000</v>
      </c>
      <c r="E17" s="14">
        <f>ROSTER!J41</f>
        <v>680000</v>
      </c>
      <c r="F17" s="14">
        <f>ROSTER!J43</f>
        <v>6665000</v>
      </c>
      <c r="G17" s="14">
        <f t="shared" si="2"/>
        <v>1999500</v>
      </c>
      <c r="H17" s="14">
        <f t="shared" si="3"/>
        <v>266600</v>
      </c>
      <c r="I17" s="12"/>
      <c r="J17" s="12"/>
      <c r="K17" s="12"/>
      <c r="L17" s="12"/>
      <c r="M17" s="12"/>
      <c r="N17" s="12"/>
      <c r="O17" s="12"/>
      <c r="P17" s="12"/>
      <c r="Q17" s="12"/>
    </row>
    <row r="18">
      <c r="A18" s="5">
        <v>2028.0</v>
      </c>
      <c r="B18" s="30">
        <f>ROSTER!K45</f>
        <v>32</v>
      </c>
      <c r="C18" s="10">
        <f>ROSTER!K14</f>
        <v>2512000</v>
      </c>
      <c r="D18" s="10">
        <f>ROSTER!K26</f>
        <v>6825000</v>
      </c>
      <c r="E18" s="10">
        <f>ROSTER!K41</f>
        <v>1256000</v>
      </c>
      <c r="F18" s="10">
        <f>ROSTER!K43</f>
        <v>10593000</v>
      </c>
      <c r="G18" s="10">
        <f t="shared" si="2"/>
        <v>3177900</v>
      </c>
      <c r="H18" s="10">
        <f t="shared" si="3"/>
        <v>331031.25</v>
      </c>
      <c r="I18" s="6"/>
      <c r="J18" s="6"/>
      <c r="K18" s="6"/>
      <c r="L18" s="6"/>
      <c r="M18" s="6"/>
      <c r="N18" s="6"/>
      <c r="O18" s="6"/>
      <c r="P18" s="6"/>
      <c r="Q18" s="6"/>
    </row>
    <row r="19">
      <c r="A19" s="11">
        <v>2029.0</v>
      </c>
      <c r="B19" s="32">
        <f>ROSTER!L45</f>
        <v>32</v>
      </c>
      <c r="C19" s="14">
        <f>ROSTER!L14</f>
        <v>2814400</v>
      </c>
      <c r="D19" s="14">
        <f>ROSTER!L26</f>
        <v>8700000</v>
      </c>
      <c r="E19" s="14">
        <f>ROSTER!L41</f>
        <v>1747200</v>
      </c>
      <c r="F19" s="14">
        <f>ROSTER!L43</f>
        <v>13261600</v>
      </c>
      <c r="G19" s="14">
        <f t="shared" si="2"/>
        <v>3978480</v>
      </c>
      <c r="H19" s="14">
        <f t="shared" si="3"/>
        <v>414425</v>
      </c>
      <c r="I19" s="12"/>
      <c r="J19" s="12"/>
      <c r="K19" s="12"/>
      <c r="L19" s="12"/>
      <c r="M19" s="12"/>
      <c r="N19" s="12"/>
      <c r="O19" s="12"/>
      <c r="P19" s="12"/>
      <c r="Q19" s="12"/>
    </row>
    <row r="20">
      <c r="A20" s="5">
        <v>2030.0</v>
      </c>
      <c r="B20" s="30">
        <f>ROSTER!M45</f>
        <v>32</v>
      </c>
      <c r="C20" s="10">
        <f>ROSTER!M14</f>
        <v>3177280</v>
      </c>
      <c r="D20" s="10">
        <f>ROSTER!M26</f>
        <v>9000000</v>
      </c>
      <c r="E20" s="10">
        <f>ROSTER!M41</f>
        <v>2096640</v>
      </c>
      <c r="F20" s="10">
        <f>ROSTER!M43</f>
        <v>14273920</v>
      </c>
      <c r="G20" s="10">
        <f t="shared" si="2"/>
        <v>4282176</v>
      </c>
      <c r="H20" s="10">
        <f t="shared" si="3"/>
        <v>446060</v>
      </c>
      <c r="I20" s="6"/>
      <c r="J20" s="6"/>
      <c r="K20" s="6"/>
      <c r="L20" s="6"/>
      <c r="M20" s="6"/>
      <c r="N20" s="6"/>
      <c r="O20" s="6"/>
      <c r="P20" s="6"/>
      <c r="Q20" s="6"/>
    </row>
    <row r="21" ht="15.75" customHeight="1">
      <c r="A21" s="11">
        <v>2031.0</v>
      </c>
      <c r="B21" s="32">
        <f>ROSTER!N45</f>
        <v>32</v>
      </c>
      <c r="C21" s="14">
        <f>ROSTER!N14</f>
        <v>3612736</v>
      </c>
      <c r="D21" s="14">
        <f>ROSTER!N26</f>
        <v>9000000</v>
      </c>
      <c r="E21" s="14">
        <f>ROSTER!N41</f>
        <v>2515968</v>
      </c>
      <c r="F21" s="14">
        <f>ROSTER!N43</f>
        <v>15128704</v>
      </c>
      <c r="G21" s="14">
        <f t="shared" si="2"/>
        <v>4538611.2</v>
      </c>
      <c r="H21" s="14">
        <f t="shared" si="3"/>
        <v>472772</v>
      </c>
      <c r="I21" s="12"/>
      <c r="J21" s="12"/>
      <c r="K21" s="12"/>
      <c r="L21" s="12"/>
      <c r="M21" s="12"/>
      <c r="N21" s="12"/>
      <c r="O21" s="12"/>
      <c r="P21" s="12"/>
      <c r="Q21" s="12"/>
    </row>
    <row r="22" ht="15.75" customHeight="1"/>
    <row r="23" ht="15.75" customHeight="1">
      <c r="A23" s="20" t="s">
        <v>166</v>
      </c>
    </row>
    <row r="24" ht="15.75" customHeight="1">
      <c r="A24" s="20" t="s">
        <v>167</v>
      </c>
      <c r="B24" s="33">
        <f>ROSTER!I43</f>
        <v>3125000</v>
      </c>
    </row>
    <row r="25" ht="15.75" customHeight="1">
      <c r="A25" s="20" t="s">
        <v>168</v>
      </c>
      <c r="B25" s="34">
        <f>ASSUMPTIONS!B27</f>
        <v>825000</v>
      </c>
    </row>
    <row r="26" ht="15.75" customHeight="1">
      <c r="A26" s="20" t="s">
        <v>169</v>
      </c>
      <c r="B26" s="33">
        <f>B24+B25</f>
        <v>3950000</v>
      </c>
    </row>
    <row r="27" ht="15.75" customHeight="1">
      <c r="A27" s="20" t="s">
        <v>170</v>
      </c>
      <c r="B27" s="34">
        <f>B26*0.3</f>
        <v>1185000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