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 Calendar" sheetId="1" r:id="rId5"/>
    <sheet state="visible" name="Platform Scorecard" sheetId="2" r:id="rId6"/>
    <sheet state="visible" name="Paid Media" sheetId="3" r:id="rId7"/>
    <sheet state="visible" name="30-Day Targets" sheetId="4" r:id="rId8"/>
  </sheets>
  <definedNames/>
  <calcPr/>
</workbook>
</file>

<file path=xl/sharedStrings.xml><?xml version="1.0" encoding="utf-8"?>
<sst xmlns="http://schemas.openxmlformats.org/spreadsheetml/2006/main" count="214" uniqueCount="127">
  <si>
    <t>CONTENT CALENDAR</t>
  </si>
  <si>
    <t>Date</t>
  </si>
  <si>
    <t>Content Type</t>
  </si>
  <si>
    <t>Title / Description</t>
  </si>
  <si>
    <t>Episode</t>
  </si>
  <si>
    <t>Status</t>
  </si>
  <si>
    <t>Instagram Reels</t>
  </si>
  <si>
    <t>TikTok</t>
  </si>
  <si>
    <t>YouTube Shorts</t>
  </si>
  <si>
    <t>YouTube Long</t>
  </si>
  <si>
    <t>LinkedIn</t>
  </si>
  <si>
    <t>Facebook</t>
  </si>
  <si>
    <t>X / Twitter</t>
  </si>
  <si>
    <t>Threads</t>
  </si>
  <si>
    <t>Views</t>
  </si>
  <si>
    <t>Engagement</t>
  </si>
  <si>
    <t>Notes</t>
  </si>
  <si>
    <t>2/26/2026</t>
  </si>
  <si>
    <t>Long-Form</t>
  </si>
  <si>
    <t>Ep 3 — Brad Beyer: Art + Real Estate</t>
  </si>
  <si>
    <t>Ep 3</t>
  </si>
  <si>
    <t>POSTED</t>
  </si>
  <si>
    <t>✓</t>
  </si>
  <si>
    <t>Thursday 4 PM drop</t>
  </si>
  <si>
    <t>2/27/2026</t>
  </si>
  <si>
    <t>Short #1 — The Fear</t>
  </si>
  <si>
    <t>Brad Beyer — costly mistake clip</t>
  </si>
  <si>
    <t>Boosted $50 on IG</t>
  </si>
  <si>
    <t>2/28/2026</t>
  </si>
  <si>
    <t>Short #2 — The Flex</t>
  </si>
  <si>
    <t>Christie's auction connection</t>
  </si>
  <si>
    <t>SCHEDULED</t>
  </si>
  <si>
    <t>3/1/2026</t>
  </si>
  <si>
    <t>Short #3 — The Secret</t>
  </si>
  <si>
    <t>Hamlet-level insight</t>
  </si>
  <si>
    <t>DRAFT</t>
  </si>
  <si>
    <t>3/2/2026</t>
  </si>
  <si>
    <t>Short #4 — The Number</t>
  </si>
  <si>
    <t>Specific dollar figure with stakes</t>
  </si>
  <si>
    <t>Ed posts LinkedIn personally</t>
  </si>
  <si>
    <t>3/3/2026</t>
  </si>
  <si>
    <t>Short #5 — The Thing</t>
  </si>
  <si>
    <t>The thing no one mentions</t>
  </si>
  <si>
    <t>CTV Ad — 15 sec</t>
  </si>
  <si>
    <t>Christie's East Hampton brand spot</t>
  </si>
  <si>
    <t>Brand</t>
  </si>
  <si>
    <t>RUNNING</t>
  </si>
  <si>
    <t>Hulu / Roku NYC ZIP</t>
  </si>
  <si>
    <t>Audio Ad — 30 sec</t>
  </si>
  <si>
    <t>Podcast promo</t>
  </si>
  <si>
    <t>Spotify / Pandora</t>
  </si>
  <si>
    <t>3/5/2026</t>
  </si>
  <si>
    <t>Ep 4 — TBD</t>
  </si>
  <si>
    <t>Ep 4</t>
  </si>
  <si>
    <t>PLANNED</t>
  </si>
  <si>
    <t>3/6/2026</t>
  </si>
  <si>
    <t>3/7/2026</t>
  </si>
  <si>
    <t>3/8/2026</t>
  </si>
  <si>
    <t>3/9/2026</t>
  </si>
  <si>
    <t>3/10/2026</t>
  </si>
  <si>
    <t>STATUS:</t>
  </si>
  <si>
    <t>PLATFORMS:</t>
  </si>
  <si>
    <t>✓ = Posted</t>
  </si>
  <si>
    <t>(empty) = Not Yet</t>
  </si>
  <si>
    <t>WEEKLY PLATFORM SCORECARD</t>
  </si>
  <si>
    <t>Week Of</t>
  </si>
  <si>
    <t>Platform</t>
  </si>
  <si>
    <t>Followers</t>
  </si>
  <si>
    <t>Posts</t>
  </si>
  <si>
    <t>Total Views</t>
  </si>
  <si>
    <t>Top Post</t>
  </si>
  <si>
    <t>Engagement Rate</t>
  </si>
  <si>
    <t>2/24/2026</t>
  </si>
  <si>
    <t>YouTube</t>
  </si>
  <si>
    <t>Long-form + Shorts</t>
  </si>
  <si>
    <t>Instagram</t>
  </si>
  <si>
    <t>Reels + Stories</t>
  </si>
  <si>
    <t>Shorts only</t>
  </si>
  <si>
    <t>Ed personal posts</t>
  </si>
  <si>
    <t>Christie's EH page</t>
  </si>
  <si>
    <t>PAID MEDIA LOG</t>
  </si>
  <si>
    <t>Campaign</t>
  </si>
  <si>
    <t>Placement</t>
  </si>
  <si>
    <t>Start</t>
  </si>
  <si>
    <t>End</t>
  </si>
  <si>
    <t>Budget</t>
  </si>
  <si>
    <t>Impressions</t>
  </si>
  <si>
    <t>Clicks</t>
  </si>
  <si>
    <t>CPM</t>
  </si>
  <si>
    <t>Ep 3 Brad Beyer — Short #1 Boost</t>
  </si>
  <si>
    <t>Reels Feed</t>
  </si>
  <si>
    <t>$50</t>
  </si>
  <si>
    <t>Christie's EH Brand — CTV</t>
  </si>
  <si>
    <t>Hulu / Roku</t>
  </si>
  <si>
    <t>NYC ZIP 10001-10282</t>
  </si>
  <si>
    <t>3/31/2026</t>
  </si>
  <si>
    <t>Christie's EH Brand — Pre-Roll</t>
  </si>
  <si>
    <t>Bloomberg / CNBC</t>
  </si>
  <si>
    <t>Podcast Audio Ad</t>
  </si>
  <si>
    <t>Hamptons + NYC geo</t>
  </si>
  <si>
    <t>Ep 3 Short #4 — LinkedIn Boost</t>
  </si>
  <si>
    <t>Executive targeting</t>
  </si>
  <si>
    <t>30-DAY SOCIAL MEDIA TARGETS</t>
  </si>
  <si>
    <t>Metric</t>
  </si>
  <si>
    <t>Target</t>
  </si>
  <si>
    <t>Actual</t>
  </si>
  <si>
    <t>% Complete</t>
  </si>
  <si>
    <t>Episodes Published</t>
  </si>
  <si>
    <t>4</t>
  </si>
  <si>
    <t>Pierre, Marit, Brad, TBD</t>
  </si>
  <si>
    <t>Shorts Distributed</t>
  </si>
  <si>
    <t>20</t>
  </si>
  <si>
    <t>5 per episode x 4 episodes</t>
  </si>
  <si>
    <t>Paid Impressions</t>
  </si>
  <si>
    <t>100000</t>
  </si>
  <si>
    <t>CTV + YouTube + LinkedIn + Spotify</t>
  </si>
  <si>
    <t>Email Captures</t>
  </si>
  <si>
    <t>50</t>
  </si>
  <si>
    <t>Landing page: 2026 Buyer's Intel Brief</t>
  </si>
  <si>
    <t>Inbound Inquiries (podcast mention)</t>
  </si>
  <si>
    <t>5</t>
  </si>
  <si>
    <t>Track in Pipeline notes</t>
  </si>
  <si>
    <t>New Instagram Followers</t>
  </si>
  <si>
    <t>New YouTube Subscribers</t>
  </si>
  <si>
    <t>Total YouTube Views (month)</t>
  </si>
  <si>
    <t>LinkedIn Post Impressions</t>
  </si>
  <si>
    <t>Ed personal account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</si>
</sst>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0.0"/>
      <color rgb="FF384249"/>
      <name val="Arial"/>
    </font>
    <font/>
    <font>
      <b/>
      <sz val="10.0"/>
      <color rgb="FFFFFFFF"/>
      <name val="Arial"/>
    </font>
    <font>
      <b/>
      <sz val="10.0"/>
      <color rgb="FF2C3E50"/>
      <name val="Arial"/>
    </font>
    <font>
      <sz val="10.0"/>
      <color rgb="FF2C3E5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384249"/>
        <bgColor rgb="FF384249"/>
      </patternFill>
    </fill>
    <fill>
      <patternFill patternType="solid">
        <fgColor rgb="FFC9AC77"/>
        <bgColor rgb="FFC9AC77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2C3E50"/>
        <bgColor rgb="FF2C3E50"/>
      </patternFill>
    </fill>
    <fill>
      <patternFill patternType="solid">
        <fgColor rgb="FFC9A96E"/>
        <bgColor rgb="FFC9A96E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bottom style="medium">
        <color rgb="FFB0B0B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left" shrinkToFit="0" vertical="center" wrapText="1"/>
    </xf>
    <xf borderId="4" fillId="0" fontId="2" numFmtId="0" xfId="0" applyBorder="1" applyFont="1"/>
    <xf borderId="4" fillId="2" fontId="3" numFmtId="0" xfId="0" applyAlignment="1" applyBorder="1" applyFont="1">
      <alignment horizontal="left" shrinkToFit="0" vertical="center" wrapText="1"/>
    </xf>
    <xf borderId="5" fillId="4" fontId="4" numFmtId="0" xfId="0" applyAlignment="1" applyBorder="1" applyFill="1" applyFont="1">
      <alignment horizontal="left" shrinkToFit="0" vertical="center" wrapText="1"/>
    </xf>
    <xf borderId="6" fillId="5" fontId="1" numFmtId="0" xfId="0" applyAlignment="1" applyBorder="1" applyFill="1" applyFont="1">
      <alignment horizontal="left" shrinkToFit="0" vertical="center" wrapText="1"/>
    </xf>
    <xf borderId="5" fillId="4" fontId="5" numFmtId="0" xfId="0" applyAlignment="1" applyBorder="1" applyFont="1">
      <alignment horizontal="left" shrinkToFit="0" vertical="center" wrapText="1"/>
    </xf>
    <xf borderId="6" fillId="4" fontId="1" numFmtId="0" xfId="0" applyAlignment="1" applyBorder="1" applyFont="1">
      <alignment horizontal="left" shrinkToFit="0" vertical="center" wrapText="1"/>
    </xf>
    <xf borderId="5" fillId="5" fontId="5" numFmtId="0" xfId="0" applyAlignment="1" applyBorder="1" applyFont="1">
      <alignment horizontal="left" shrinkToFit="0" vertical="center" wrapText="1"/>
    </xf>
    <xf borderId="6" fillId="4" fontId="1" numFmtId="0" xfId="0" applyAlignment="1" applyBorder="1" applyFont="1">
      <alignment horizontal="left" vertical="center"/>
    </xf>
    <xf borderId="6" fillId="5" fontId="1" numFmtId="0" xfId="0" applyAlignment="1" applyBorder="1" applyFont="1">
      <alignment horizontal="left" shrinkToFit="0" vertical="center" wrapText="0"/>
    </xf>
    <xf borderId="6" fillId="5" fontId="1" numFmtId="0" xfId="0" applyAlignment="1" applyBorder="1" applyFont="1">
      <alignment horizontal="left" vertical="center"/>
    </xf>
    <xf borderId="6" fillId="4" fontId="1" numFmtId="0" xfId="0" applyAlignment="1" applyBorder="1" applyFont="1">
      <alignment horizontal="left" shrinkToFit="0" vertical="center" wrapText="0"/>
    </xf>
    <xf borderId="1" fillId="6" fontId="3" numFmtId="0" xfId="0" applyAlignment="1" applyBorder="1" applyFill="1" applyFont="1">
      <alignment horizontal="left" shrinkToFit="0" vertical="center" wrapText="1"/>
    </xf>
    <xf borderId="1" fillId="7" fontId="3" numFmtId="0" xfId="0" applyAlignment="1" applyBorder="1" applyFill="1" applyFont="1">
      <alignment horizontal="left" shrinkToFit="0" vertical="center" wrapText="1"/>
    </xf>
    <xf borderId="5" fillId="4" fontId="5" numFmtId="9" xfId="0" applyAlignment="1" applyBorder="1" applyFont="1" applyNumberFormat="1">
      <alignment horizontal="left" shrinkToFit="0" vertical="center" wrapText="1"/>
    </xf>
    <xf borderId="5" fillId="5" fontId="5" numFmtId="9" xfId="0" applyAlignment="1" applyBorder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C3E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34.0"/>
    <col customWidth="1" min="4" max="4" width="12.0"/>
    <col customWidth="1" min="5" max="5" width="10.0"/>
    <col customWidth="1" min="6" max="6" width="12.0"/>
    <col customWidth="1" min="7" max="7" width="10.0"/>
    <col customWidth="1" min="8" max="9" width="12.0"/>
    <col customWidth="1" min="10" max="15" width="10.0"/>
    <col customWidth="1" min="16" max="16" width="22.0"/>
    <col customWidth="1" min="17" max="26" width="8.71"/>
  </cols>
  <sheetData>
    <row r="1" ht="21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24.0" customHeight="1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ht="21.0" customHeight="1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7" t="s">
        <v>14</v>
      </c>
      <c r="O3" s="7" t="s">
        <v>15</v>
      </c>
      <c r="P3" s="7" t="s">
        <v>16</v>
      </c>
    </row>
    <row r="4">
      <c r="A4" s="8" t="s">
        <v>17</v>
      </c>
      <c r="B4" s="8" t="s">
        <v>18</v>
      </c>
      <c r="C4" s="8" t="s">
        <v>19</v>
      </c>
      <c r="D4" s="8" t="s">
        <v>20</v>
      </c>
      <c r="E4" s="8" t="s">
        <v>21</v>
      </c>
      <c r="F4" s="8"/>
      <c r="G4" s="8"/>
      <c r="H4" s="8"/>
      <c r="I4" s="8" t="s">
        <v>22</v>
      </c>
      <c r="J4" s="8"/>
      <c r="K4" s="8"/>
      <c r="L4" s="8"/>
      <c r="M4" s="8"/>
      <c r="N4" s="9"/>
      <c r="O4" s="9"/>
      <c r="P4" s="9" t="s">
        <v>23</v>
      </c>
    </row>
    <row r="5">
      <c r="A5" s="10" t="s">
        <v>24</v>
      </c>
      <c r="B5" s="10" t="s">
        <v>25</v>
      </c>
      <c r="C5" s="10" t="s">
        <v>26</v>
      </c>
      <c r="D5" s="10" t="s">
        <v>20</v>
      </c>
      <c r="E5" s="10" t="s">
        <v>21</v>
      </c>
      <c r="F5" s="10" t="s">
        <v>22</v>
      </c>
      <c r="G5" s="10" t="s">
        <v>22</v>
      </c>
      <c r="H5" s="10" t="s">
        <v>22</v>
      </c>
      <c r="I5" s="10"/>
      <c r="J5" s="10" t="s">
        <v>22</v>
      </c>
      <c r="K5" s="10" t="s">
        <v>22</v>
      </c>
      <c r="L5" s="10" t="s">
        <v>22</v>
      </c>
      <c r="M5" s="10" t="s">
        <v>22</v>
      </c>
      <c r="N5" s="11"/>
      <c r="O5" s="11"/>
      <c r="P5" s="11" t="s">
        <v>27</v>
      </c>
    </row>
    <row r="6">
      <c r="A6" s="8" t="s">
        <v>28</v>
      </c>
      <c r="B6" s="8" t="s">
        <v>29</v>
      </c>
      <c r="C6" s="8" t="s">
        <v>30</v>
      </c>
      <c r="D6" s="8" t="s">
        <v>20</v>
      </c>
      <c r="E6" s="8" t="s">
        <v>31</v>
      </c>
      <c r="F6" s="8"/>
      <c r="G6" s="8"/>
      <c r="H6" s="8"/>
      <c r="I6" s="8"/>
      <c r="J6" s="8"/>
      <c r="K6" s="8"/>
      <c r="L6" s="8"/>
      <c r="M6" s="8"/>
      <c r="N6" s="9"/>
      <c r="O6" s="9"/>
      <c r="P6" s="9"/>
    </row>
    <row r="7">
      <c r="A7" s="10" t="s">
        <v>32</v>
      </c>
      <c r="B7" s="10" t="s">
        <v>33</v>
      </c>
      <c r="C7" s="10" t="s">
        <v>34</v>
      </c>
      <c r="D7" s="10" t="s">
        <v>20</v>
      </c>
      <c r="E7" s="10" t="s">
        <v>35</v>
      </c>
      <c r="F7" s="10"/>
      <c r="G7" s="10"/>
      <c r="H7" s="10"/>
      <c r="I7" s="10"/>
      <c r="J7" s="10"/>
      <c r="K7" s="10"/>
      <c r="L7" s="10"/>
      <c r="M7" s="10"/>
      <c r="N7" s="11"/>
      <c r="O7" s="11"/>
      <c r="P7" s="11"/>
    </row>
    <row r="8">
      <c r="A8" s="8" t="s">
        <v>36</v>
      </c>
      <c r="B8" s="8" t="s">
        <v>37</v>
      </c>
      <c r="C8" s="8" t="s">
        <v>38</v>
      </c>
      <c r="D8" s="8" t="s">
        <v>20</v>
      </c>
      <c r="E8" s="8" t="s">
        <v>35</v>
      </c>
      <c r="F8" s="8"/>
      <c r="G8" s="8"/>
      <c r="H8" s="8"/>
      <c r="I8" s="8"/>
      <c r="J8" s="8"/>
      <c r="K8" s="8"/>
      <c r="L8" s="8"/>
      <c r="M8" s="8"/>
      <c r="N8" s="9"/>
      <c r="O8" s="9"/>
      <c r="P8" s="9" t="s">
        <v>39</v>
      </c>
    </row>
    <row r="9">
      <c r="A9" s="10" t="s">
        <v>40</v>
      </c>
      <c r="B9" s="10" t="s">
        <v>41</v>
      </c>
      <c r="C9" s="10" t="s">
        <v>42</v>
      </c>
      <c r="D9" s="10" t="s">
        <v>20</v>
      </c>
      <c r="E9" s="10" t="s">
        <v>35</v>
      </c>
      <c r="F9" s="10"/>
      <c r="G9" s="10"/>
      <c r="H9" s="10"/>
      <c r="I9" s="10"/>
      <c r="J9" s="10"/>
      <c r="K9" s="10"/>
      <c r="L9" s="10"/>
      <c r="M9" s="10"/>
      <c r="N9" s="11"/>
      <c r="O9" s="11"/>
      <c r="P9" s="11"/>
    </row>
    <row r="10">
      <c r="A10" s="8" t="s">
        <v>40</v>
      </c>
      <c r="B10" s="8" t="s">
        <v>43</v>
      </c>
      <c r="C10" s="8" t="s">
        <v>44</v>
      </c>
      <c r="D10" s="8" t="s">
        <v>45</v>
      </c>
      <c r="E10" s="8" t="s">
        <v>46</v>
      </c>
      <c r="F10" s="8"/>
      <c r="G10" s="8"/>
      <c r="H10" s="8"/>
      <c r="I10" s="8"/>
      <c r="J10" s="8"/>
      <c r="K10" s="8"/>
      <c r="L10" s="8"/>
      <c r="M10" s="8"/>
      <c r="N10" s="9"/>
      <c r="O10" s="9"/>
      <c r="P10" s="9" t="s">
        <v>47</v>
      </c>
    </row>
    <row r="11">
      <c r="A11" s="10" t="s">
        <v>40</v>
      </c>
      <c r="B11" s="10" t="s">
        <v>48</v>
      </c>
      <c r="C11" s="10" t="s">
        <v>49</v>
      </c>
      <c r="D11" s="10" t="s">
        <v>45</v>
      </c>
      <c r="E11" s="10" t="s">
        <v>46</v>
      </c>
      <c r="F11" s="10"/>
      <c r="G11" s="10"/>
      <c r="H11" s="10"/>
      <c r="I11" s="10"/>
      <c r="J11" s="10"/>
      <c r="K11" s="10"/>
      <c r="L11" s="10"/>
      <c r="M11" s="10"/>
      <c r="N11" s="11"/>
      <c r="O11" s="11"/>
      <c r="P11" s="11" t="s">
        <v>50</v>
      </c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9"/>
      <c r="O12" s="9"/>
      <c r="P12" s="9"/>
    </row>
    <row r="13">
      <c r="A13" s="10" t="s">
        <v>51</v>
      </c>
      <c r="B13" s="10" t="s">
        <v>18</v>
      </c>
      <c r="C13" s="10" t="s">
        <v>52</v>
      </c>
      <c r="D13" s="10" t="s">
        <v>53</v>
      </c>
      <c r="E13" s="10" t="s">
        <v>54</v>
      </c>
      <c r="F13" s="10"/>
      <c r="G13" s="10"/>
      <c r="H13" s="10"/>
      <c r="I13" s="10"/>
      <c r="J13" s="10"/>
      <c r="K13" s="10"/>
      <c r="L13" s="10"/>
      <c r="M13" s="10"/>
      <c r="N13" s="11"/>
      <c r="O13" s="11"/>
      <c r="P13" s="11"/>
    </row>
    <row r="14">
      <c r="A14" s="8" t="s">
        <v>55</v>
      </c>
      <c r="B14" s="8" t="s">
        <v>25</v>
      </c>
      <c r="C14" s="8"/>
      <c r="D14" s="8" t="s">
        <v>53</v>
      </c>
      <c r="E14" s="8" t="s">
        <v>54</v>
      </c>
      <c r="F14" s="8"/>
      <c r="G14" s="8"/>
      <c r="H14" s="8"/>
      <c r="I14" s="8"/>
      <c r="J14" s="8"/>
      <c r="K14" s="8"/>
      <c r="L14" s="8"/>
      <c r="M14" s="8"/>
      <c r="N14" s="9"/>
      <c r="O14" s="9"/>
      <c r="P14" s="9"/>
    </row>
    <row r="15">
      <c r="A15" s="10" t="s">
        <v>56</v>
      </c>
      <c r="B15" s="10" t="s">
        <v>29</v>
      </c>
      <c r="C15" s="10"/>
      <c r="D15" s="10" t="s">
        <v>53</v>
      </c>
      <c r="E15" s="10" t="s">
        <v>54</v>
      </c>
      <c r="F15" s="10"/>
      <c r="G15" s="10"/>
      <c r="H15" s="10"/>
      <c r="I15" s="10"/>
      <c r="J15" s="10"/>
      <c r="K15" s="10"/>
      <c r="L15" s="10"/>
      <c r="M15" s="10"/>
      <c r="N15" s="11"/>
      <c r="O15" s="11"/>
      <c r="P15" s="11"/>
    </row>
    <row r="16">
      <c r="A16" s="8" t="s">
        <v>57</v>
      </c>
      <c r="B16" s="8" t="s">
        <v>33</v>
      </c>
      <c r="C16" s="8"/>
      <c r="D16" s="8" t="s">
        <v>53</v>
      </c>
      <c r="E16" s="8" t="s">
        <v>54</v>
      </c>
      <c r="F16" s="8"/>
      <c r="G16" s="8"/>
      <c r="H16" s="8"/>
      <c r="I16" s="8"/>
      <c r="J16" s="8"/>
      <c r="K16" s="8"/>
      <c r="L16" s="8"/>
      <c r="M16" s="8"/>
      <c r="N16" s="9"/>
      <c r="O16" s="9"/>
      <c r="P16" s="9"/>
    </row>
    <row r="17">
      <c r="A17" s="10" t="s">
        <v>58</v>
      </c>
      <c r="B17" s="10" t="s">
        <v>37</v>
      </c>
      <c r="C17" s="10"/>
      <c r="D17" s="10" t="s">
        <v>53</v>
      </c>
      <c r="E17" s="10" t="s">
        <v>54</v>
      </c>
      <c r="F17" s="10"/>
      <c r="G17" s="10"/>
      <c r="H17" s="10"/>
      <c r="I17" s="10"/>
      <c r="J17" s="10"/>
      <c r="K17" s="10"/>
      <c r="L17" s="10"/>
      <c r="M17" s="10"/>
      <c r="N17" s="11"/>
      <c r="O17" s="11"/>
      <c r="P17" s="11"/>
    </row>
    <row r="18">
      <c r="A18" s="8" t="s">
        <v>59</v>
      </c>
      <c r="B18" s="8" t="s">
        <v>41</v>
      </c>
      <c r="C18" s="8"/>
      <c r="D18" s="8" t="s">
        <v>53</v>
      </c>
      <c r="E18" s="8" t="s">
        <v>54</v>
      </c>
      <c r="F18" s="8"/>
      <c r="G18" s="8"/>
      <c r="H18" s="8"/>
      <c r="I18" s="8"/>
      <c r="J18" s="8"/>
      <c r="K18" s="8"/>
      <c r="L18" s="8"/>
      <c r="M18" s="8"/>
      <c r="N18" s="9"/>
      <c r="O18" s="9"/>
      <c r="P18" s="9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>
      <c r="A20" s="13" t="s">
        <v>60</v>
      </c>
      <c r="B20" s="13" t="s">
        <v>21</v>
      </c>
      <c r="C20" s="13" t="s">
        <v>31</v>
      </c>
      <c r="D20" s="13" t="s">
        <v>35</v>
      </c>
      <c r="E20" s="13" t="s">
        <v>46</v>
      </c>
      <c r="F20" s="13" t="s">
        <v>54</v>
      </c>
      <c r="G20" s="14"/>
      <c r="H20" s="14"/>
      <c r="I20" s="14"/>
      <c r="J20" s="14"/>
      <c r="K20" s="14"/>
      <c r="L20" s="14"/>
      <c r="M20" s="14"/>
    </row>
    <row r="21" ht="15.75" customHeight="1">
      <c r="A21" s="15" t="s">
        <v>61</v>
      </c>
      <c r="B21" s="15" t="s">
        <v>62</v>
      </c>
      <c r="C21" s="15" t="s">
        <v>63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</row>
    <row r="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</row>
    <row r="28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P1"/>
    <mergeCell ref="A2:P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A96E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12.0"/>
    <col customWidth="1" min="4" max="4" width="10.0"/>
    <col customWidth="1" min="5" max="5" width="14.0"/>
    <col customWidth="1" min="6" max="6" width="30.0"/>
    <col customWidth="1" min="7" max="7" width="14.0"/>
    <col customWidth="1" min="8" max="8" width="24.0"/>
    <col customWidth="1" min="9" max="26" width="8.71"/>
  </cols>
  <sheetData>
    <row r="1" ht="31.5" customHeight="1">
      <c r="A1" s="16"/>
      <c r="B1" s="2"/>
      <c r="C1" s="2"/>
      <c r="D1" s="2"/>
      <c r="E1" s="2"/>
      <c r="F1" s="2"/>
      <c r="G1" s="2"/>
      <c r="H1" s="3"/>
    </row>
    <row r="2" ht="27.75" customHeight="1">
      <c r="A2" s="17" t="s">
        <v>64</v>
      </c>
      <c r="B2" s="2"/>
      <c r="C2" s="2"/>
      <c r="D2" s="2"/>
      <c r="E2" s="2"/>
      <c r="F2" s="2"/>
      <c r="G2" s="2"/>
      <c r="H2" s="3"/>
    </row>
    <row r="3" ht="27.75" customHeight="1">
      <c r="A3" s="7" t="s">
        <v>65</v>
      </c>
      <c r="B3" s="7" t="s">
        <v>66</v>
      </c>
      <c r="C3" s="7" t="s">
        <v>67</v>
      </c>
      <c r="D3" s="7" t="s">
        <v>68</v>
      </c>
      <c r="E3" s="7" t="s">
        <v>69</v>
      </c>
      <c r="F3" s="7" t="s">
        <v>70</v>
      </c>
      <c r="G3" s="7" t="s">
        <v>71</v>
      </c>
      <c r="H3" s="7" t="s">
        <v>16</v>
      </c>
    </row>
    <row r="4">
      <c r="A4" s="9" t="s">
        <v>72</v>
      </c>
      <c r="B4" s="9" t="s">
        <v>73</v>
      </c>
      <c r="C4" s="9"/>
      <c r="D4" s="9"/>
      <c r="E4" s="9"/>
      <c r="F4" s="9"/>
      <c r="G4" s="9"/>
      <c r="H4" s="9" t="s">
        <v>74</v>
      </c>
    </row>
    <row r="5">
      <c r="A5" s="11" t="s">
        <v>72</v>
      </c>
      <c r="B5" s="11" t="s">
        <v>75</v>
      </c>
      <c r="C5" s="11"/>
      <c r="D5" s="11"/>
      <c r="E5" s="11"/>
      <c r="F5" s="11"/>
      <c r="G5" s="11"/>
      <c r="H5" s="11" t="s">
        <v>76</v>
      </c>
    </row>
    <row r="6">
      <c r="A6" s="9" t="s">
        <v>72</v>
      </c>
      <c r="B6" s="9" t="s">
        <v>7</v>
      </c>
      <c r="C6" s="9"/>
      <c r="D6" s="9"/>
      <c r="E6" s="9"/>
      <c r="F6" s="9"/>
      <c r="G6" s="9"/>
      <c r="H6" s="9" t="s">
        <v>77</v>
      </c>
    </row>
    <row r="7">
      <c r="A7" s="11" t="s">
        <v>72</v>
      </c>
      <c r="B7" s="11" t="s">
        <v>10</v>
      </c>
      <c r="C7" s="11"/>
      <c r="D7" s="11"/>
      <c r="E7" s="11"/>
      <c r="F7" s="11"/>
      <c r="G7" s="11"/>
      <c r="H7" s="11" t="s">
        <v>78</v>
      </c>
    </row>
    <row r="8">
      <c r="A8" s="9" t="s">
        <v>72</v>
      </c>
      <c r="B8" s="9" t="s">
        <v>11</v>
      </c>
      <c r="C8" s="9"/>
      <c r="D8" s="9"/>
      <c r="E8" s="9"/>
      <c r="F8" s="9"/>
      <c r="G8" s="9"/>
      <c r="H8" s="9" t="s">
        <v>79</v>
      </c>
    </row>
    <row r="9">
      <c r="A9" s="11" t="s">
        <v>72</v>
      </c>
      <c r="B9" s="11" t="s">
        <v>12</v>
      </c>
      <c r="C9" s="11"/>
      <c r="D9" s="11"/>
      <c r="E9" s="11"/>
      <c r="F9" s="11"/>
      <c r="G9" s="11"/>
      <c r="H9" s="11"/>
    </row>
    <row r="10">
      <c r="A10" s="9" t="s">
        <v>72</v>
      </c>
      <c r="B10" s="9" t="s">
        <v>13</v>
      </c>
      <c r="C10" s="9"/>
      <c r="D10" s="9"/>
      <c r="E10" s="9"/>
      <c r="F10" s="9"/>
      <c r="G10" s="9"/>
      <c r="H10" s="9"/>
    </row>
    <row r="11">
      <c r="A11" s="11"/>
      <c r="B11" s="11"/>
      <c r="C11" s="11"/>
      <c r="D11" s="11"/>
      <c r="E11" s="11"/>
      <c r="F11" s="11"/>
      <c r="G11" s="11"/>
      <c r="H11" s="11"/>
    </row>
    <row r="12">
      <c r="A12" s="9" t="s">
        <v>40</v>
      </c>
      <c r="B12" s="9" t="s">
        <v>73</v>
      </c>
      <c r="C12" s="9"/>
      <c r="D12" s="9"/>
      <c r="E12" s="9"/>
      <c r="F12" s="9"/>
      <c r="G12" s="9"/>
      <c r="H12" s="9"/>
    </row>
    <row r="13">
      <c r="A13" s="11" t="s">
        <v>40</v>
      </c>
      <c r="B13" s="11" t="s">
        <v>75</v>
      </c>
      <c r="C13" s="11"/>
      <c r="D13" s="11"/>
      <c r="E13" s="11"/>
      <c r="F13" s="11"/>
      <c r="G13" s="11"/>
      <c r="H13" s="11"/>
    </row>
    <row r="14">
      <c r="A14" s="9" t="s">
        <v>40</v>
      </c>
      <c r="B14" s="9" t="s">
        <v>7</v>
      </c>
      <c r="C14" s="9"/>
      <c r="D14" s="9"/>
      <c r="E14" s="9"/>
      <c r="F14" s="9"/>
      <c r="G14" s="9"/>
      <c r="H14" s="9"/>
    </row>
    <row r="15">
      <c r="A15" s="11" t="s">
        <v>40</v>
      </c>
      <c r="B15" s="11" t="s">
        <v>10</v>
      </c>
      <c r="C15" s="11"/>
      <c r="D15" s="11"/>
      <c r="E15" s="11"/>
      <c r="F15" s="11"/>
      <c r="G15" s="11"/>
      <c r="H15" s="11"/>
    </row>
    <row r="16">
      <c r="A16" s="9" t="s">
        <v>40</v>
      </c>
      <c r="B16" s="9" t="s">
        <v>11</v>
      </c>
      <c r="C16" s="9"/>
      <c r="D16" s="9"/>
      <c r="E16" s="9"/>
      <c r="F16" s="9"/>
      <c r="G16" s="9"/>
      <c r="H16" s="9"/>
    </row>
    <row r="17">
      <c r="A17" s="11" t="s">
        <v>40</v>
      </c>
      <c r="B17" s="11" t="s">
        <v>12</v>
      </c>
      <c r="C17" s="11"/>
      <c r="D17" s="11"/>
      <c r="E17" s="11"/>
      <c r="F17" s="11"/>
      <c r="G17" s="11"/>
      <c r="H17" s="11"/>
    </row>
    <row r="18">
      <c r="A18" s="9" t="s">
        <v>40</v>
      </c>
      <c r="B18" s="9" t="s">
        <v>13</v>
      </c>
      <c r="C18" s="9"/>
      <c r="D18" s="9"/>
      <c r="E18" s="9"/>
      <c r="F18" s="9"/>
      <c r="G18" s="9"/>
      <c r="H18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44AD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0"/>
    <col customWidth="1" min="2" max="2" width="14.0"/>
    <col customWidth="1" min="3" max="3" width="22.0"/>
    <col customWidth="1" min="4" max="6" width="12.0"/>
    <col customWidth="1" min="7" max="7" width="14.0"/>
    <col customWidth="1" min="8" max="9" width="10.0"/>
    <col customWidth="1" min="10" max="10" width="12.0"/>
    <col customWidth="1" min="11" max="26" width="8.71"/>
  </cols>
  <sheetData>
    <row r="1" ht="31.5" customHeight="1">
      <c r="A1" s="16"/>
      <c r="B1" s="2"/>
      <c r="C1" s="2"/>
      <c r="D1" s="2"/>
      <c r="E1" s="2"/>
      <c r="F1" s="2"/>
      <c r="G1" s="2"/>
      <c r="H1" s="2"/>
      <c r="I1" s="2"/>
      <c r="J1" s="3"/>
    </row>
    <row r="2" ht="27.75" customHeight="1">
      <c r="A2" s="17" t="s">
        <v>80</v>
      </c>
      <c r="B2" s="2"/>
      <c r="C2" s="2"/>
      <c r="D2" s="2"/>
      <c r="E2" s="2"/>
      <c r="F2" s="2"/>
      <c r="G2" s="2"/>
      <c r="H2" s="2"/>
      <c r="I2" s="2"/>
      <c r="J2" s="3"/>
    </row>
    <row r="3" ht="27.75" customHeight="1">
      <c r="A3" s="7" t="s">
        <v>81</v>
      </c>
      <c r="B3" s="7" t="s">
        <v>66</v>
      </c>
      <c r="C3" s="7" t="s">
        <v>82</v>
      </c>
      <c r="D3" s="7" t="s">
        <v>83</v>
      </c>
      <c r="E3" s="7" t="s">
        <v>84</v>
      </c>
      <c r="F3" s="7" t="s">
        <v>85</v>
      </c>
      <c r="G3" s="7" t="s">
        <v>86</v>
      </c>
      <c r="H3" s="7" t="s">
        <v>87</v>
      </c>
      <c r="I3" s="7" t="s">
        <v>88</v>
      </c>
      <c r="J3" s="7" t="s">
        <v>5</v>
      </c>
    </row>
    <row r="4">
      <c r="A4" s="9" t="s">
        <v>89</v>
      </c>
      <c r="B4" s="9" t="s">
        <v>75</v>
      </c>
      <c r="C4" s="9" t="s">
        <v>90</v>
      </c>
      <c r="D4" s="9" t="s">
        <v>17</v>
      </c>
      <c r="E4" s="9" t="s">
        <v>51</v>
      </c>
      <c r="F4" s="9" t="s">
        <v>91</v>
      </c>
      <c r="G4" s="9"/>
      <c r="H4" s="9"/>
      <c r="I4" s="9"/>
      <c r="J4" s="9" t="s">
        <v>46</v>
      </c>
    </row>
    <row r="5">
      <c r="A5" s="11" t="s">
        <v>92</v>
      </c>
      <c r="B5" s="11" t="s">
        <v>93</v>
      </c>
      <c r="C5" s="11" t="s">
        <v>94</v>
      </c>
      <c r="D5" s="11" t="s">
        <v>32</v>
      </c>
      <c r="E5" s="11" t="s">
        <v>95</v>
      </c>
      <c r="F5" s="11"/>
      <c r="G5" s="11"/>
      <c r="H5" s="11"/>
      <c r="I5" s="11"/>
      <c r="J5" s="11" t="s">
        <v>54</v>
      </c>
    </row>
    <row r="6">
      <c r="A6" s="9" t="s">
        <v>96</v>
      </c>
      <c r="B6" s="9" t="s">
        <v>73</v>
      </c>
      <c r="C6" s="9" t="s">
        <v>97</v>
      </c>
      <c r="D6" s="9" t="s">
        <v>32</v>
      </c>
      <c r="E6" s="9" t="s">
        <v>95</v>
      </c>
      <c r="F6" s="9"/>
      <c r="G6" s="9"/>
      <c r="H6" s="9"/>
      <c r="I6" s="9"/>
      <c r="J6" s="9" t="s">
        <v>54</v>
      </c>
    </row>
    <row r="7">
      <c r="A7" s="11" t="s">
        <v>98</v>
      </c>
      <c r="B7" s="11" t="s">
        <v>50</v>
      </c>
      <c r="C7" s="11" t="s">
        <v>99</v>
      </c>
      <c r="D7" s="11" t="s">
        <v>32</v>
      </c>
      <c r="E7" s="11" t="s">
        <v>95</v>
      </c>
      <c r="F7" s="11"/>
      <c r="G7" s="11"/>
      <c r="H7" s="11"/>
      <c r="I7" s="11"/>
      <c r="J7" s="11" t="s">
        <v>54</v>
      </c>
    </row>
    <row r="8">
      <c r="A8" s="9" t="s">
        <v>100</v>
      </c>
      <c r="B8" s="9" t="s">
        <v>10</v>
      </c>
      <c r="C8" s="9" t="s">
        <v>101</v>
      </c>
      <c r="D8" s="9" t="s">
        <v>32</v>
      </c>
      <c r="E8" s="9" t="s">
        <v>57</v>
      </c>
      <c r="F8" s="9"/>
      <c r="G8" s="9"/>
      <c r="H8" s="9"/>
      <c r="I8" s="9"/>
      <c r="J8" s="9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4C3C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2.0"/>
    <col customWidth="1" min="2" max="4" width="14.0"/>
    <col customWidth="1" min="5" max="5" width="30.0"/>
    <col customWidth="1" min="6" max="26" width="8.71"/>
  </cols>
  <sheetData>
    <row r="1" ht="31.5" customHeight="1">
      <c r="A1" s="16"/>
      <c r="B1" s="2"/>
      <c r="C1" s="2"/>
      <c r="D1" s="2"/>
      <c r="E1" s="3"/>
    </row>
    <row r="2" ht="27.75" customHeight="1">
      <c r="A2" s="17" t="s">
        <v>102</v>
      </c>
      <c r="B2" s="2"/>
      <c r="C2" s="2"/>
      <c r="D2" s="2"/>
      <c r="E2" s="3"/>
    </row>
    <row r="3" ht="27.75" customHeight="1">
      <c r="A3" s="7" t="s">
        <v>103</v>
      </c>
      <c r="B3" s="7" t="s">
        <v>104</v>
      </c>
      <c r="C3" s="7" t="s">
        <v>105</v>
      </c>
      <c r="D3" s="7" t="s">
        <v>106</v>
      </c>
      <c r="E3" s="7" t="s">
        <v>16</v>
      </c>
    </row>
    <row r="4">
      <c r="A4" s="9" t="s">
        <v>107</v>
      </c>
      <c r="B4" s="9" t="s">
        <v>108</v>
      </c>
      <c r="C4" s="9"/>
      <c r="D4" s="18" t="str">
        <f t="shared" ref="D4:D12" si="1">IF(AND(C4&lt;&gt;"",B4&lt;&gt;""),C4/B4,"")</f>
        <v/>
      </c>
      <c r="E4" s="9" t="s">
        <v>109</v>
      </c>
    </row>
    <row r="5">
      <c r="A5" s="11" t="s">
        <v>110</v>
      </c>
      <c r="B5" s="11" t="s">
        <v>111</v>
      </c>
      <c r="C5" s="11"/>
      <c r="D5" s="19" t="str">
        <f t="shared" si="1"/>
        <v/>
      </c>
      <c r="E5" s="11" t="s">
        <v>112</v>
      </c>
    </row>
    <row r="6">
      <c r="A6" s="9" t="s">
        <v>113</v>
      </c>
      <c r="B6" s="9" t="s">
        <v>114</v>
      </c>
      <c r="C6" s="9"/>
      <c r="D6" s="18" t="str">
        <f t="shared" si="1"/>
        <v/>
      </c>
      <c r="E6" s="9" t="s">
        <v>115</v>
      </c>
    </row>
    <row r="7">
      <c r="A7" s="11" t="s">
        <v>116</v>
      </c>
      <c r="B7" s="11" t="s">
        <v>117</v>
      </c>
      <c r="C7" s="11"/>
      <c r="D7" s="19" t="str">
        <f t="shared" si="1"/>
        <v/>
      </c>
      <c r="E7" s="11" t="s">
        <v>118</v>
      </c>
    </row>
    <row r="8">
      <c r="A8" s="9" t="s">
        <v>119</v>
      </c>
      <c r="B8" s="9" t="s">
        <v>120</v>
      </c>
      <c r="C8" s="9"/>
      <c r="D8" s="18" t="str">
        <f t="shared" si="1"/>
        <v/>
      </c>
      <c r="E8" s="9" t="s">
        <v>121</v>
      </c>
    </row>
    <row r="9">
      <c r="A9" s="11" t="s">
        <v>122</v>
      </c>
      <c r="B9" s="11"/>
      <c r="C9" s="11"/>
      <c r="D9" s="19" t="str">
        <f t="shared" si="1"/>
        <v/>
      </c>
      <c r="E9" s="11"/>
    </row>
    <row r="10">
      <c r="A10" s="9" t="s">
        <v>123</v>
      </c>
      <c r="B10" s="9"/>
      <c r="C10" s="9"/>
      <c r="D10" s="18" t="str">
        <f t="shared" si="1"/>
        <v/>
      </c>
      <c r="E10" s="9"/>
    </row>
    <row r="11">
      <c r="A11" s="11" t="s">
        <v>124</v>
      </c>
      <c r="B11" s="11"/>
      <c r="C11" s="11"/>
      <c r="D11" s="19" t="str">
        <f t="shared" si="1"/>
        <v/>
      </c>
      <c r="E11" s="11"/>
    </row>
    <row r="12">
      <c r="A12" s="9" t="s">
        <v>125</v>
      </c>
      <c r="B12" s="9"/>
      <c r="C12" s="9"/>
      <c r="D12" s="18" t="str">
        <f t="shared" si="1"/>
        <v/>
      </c>
      <c r="E12" s="9" t="s">
        <v>126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